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 ERNESTO\Documents\"/>
    </mc:Choice>
  </mc:AlternateContent>
  <xr:revisionPtr revIDLastSave="0" documentId="13_ncr:1_{3D507D48-B504-4278-A880-B3FD63743543}" xr6:coauthVersionLast="47" xr6:coauthVersionMax="47" xr10:uidLastSave="{00000000-0000-0000-0000-000000000000}"/>
  <bookViews>
    <workbookView xWindow="-120" yWindow="-120" windowWidth="29040" windowHeight="15840" xr2:uid="{B1B7DE58-68F2-4A7C-8096-C6CE65D63BB7}"/>
  </bookViews>
  <sheets>
    <sheet name="MENU PRINCIPAL" sheetId="10" r:id="rId1"/>
    <sheet name="PRODUCTOS" sheetId="1" r:id="rId2"/>
    <sheet name="ENTRADAS" sheetId="2" r:id="rId3"/>
    <sheet name="SALIDAS" sheetId="3" r:id="rId4"/>
    <sheet name="DATOS DEL CLIENTE" sheetId="5" r:id="rId5"/>
    <sheet name="FACTURA" sheetId="4" r:id="rId6"/>
    <sheet name="HISTORIAL DE FACTURACION" sheetId="6" r:id="rId7"/>
    <sheet name="GASTOS CAJA PRINCIPAL" sheetId="8" r:id="rId8"/>
    <sheet name="GASTOS CAJA MENOR" sheetId="9" r:id="rId9"/>
    <sheet name="RESUMEN DE CAJAS" sheetId="7" r:id="rId10"/>
  </sheets>
  <definedNames>
    <definedName name="TOTALCAJAGASTOSCAJAPRINCIPAL">CAJAP.T[[#Totals],[VALOR]]</definedName>
    <definedName name="TOTALCM">CAJAM.T[[#Totals],[VALOR]]</definedName>
    <definedName name="TOTALCOMPRASCAJAMENOR">CAJAM.T[[#Totals],[VALOR]]</definedName>
    <definedName name="TOTALCOMPRASCM">CAJAM.T[VALOR]</definedName>
    <definedName name="TOTALCOSTO">SALIDAS.T[[#Totals],[PRECIO DE COMPRA]]</definedName>
    <definedName name="TOTALGANANCIA">SALIDAS.T[[#Totals],[GANANCIA]]</definedName>
    <definedName name="TOTALVENTA">SALIDAS.T[[#Totals],[TOTAL DE VENTA]]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6" l="1"/>
  <c r="G14" i="6"/>
  <c r="B14" i="6"/>
  <c r="F13" i="6"/>
  <c r="G13" i="6" s="1"/>
  <c r="B13" i="6"/>
  <c r="F12" i="6"/>
  <c r="G12" i="6" s="1"/>
  <c r="B12" i="6"/>
  <c r="F11" i="6"/>
  <c r="G11" i="6" s="1"/>
  <c r="B11" i="6"/>
  <c r="F10" i="6"/>
  <c r="G10" i="6" s="1"/>
  <c r="B10" i="6"/>
  <c r="F9" i="6"/>
  <c r="G9" i="6" s="1"/>
  <c r="G15" i="6" s="1"/>
  <c r="B9" i="6"/>
  <c r="F5" i="6"/>
  <c r="C5" i="6"/>
  <c r="F4" i="6"/>
  <c r="B6" i="7"/>
  <c r="C2" i="3"/>
  <c r="C3" i="3"/>
  <c r="E2" i="3"/>
  <c r="G2" i="3" s="1"/>
  <c r="B7" i="7" s="1"/>
  <c r="E3" i="3"/>
  <c r="G3" i="3" s="1"/>
  <c r="F2" i="3"/>
  <c r="F3" i="3"/>
  <c r="E35" i="6"/>
  <c r="G34" i="6"/>
  <c r="B34" i="6"/>
  <c r="F33" i="6"/>
  <c r="G33" i="6" s="1"/>
  <c r="B33" i="6"/>
  <c r="F32" i="6"/>
  <c r="G32" i="6" s="1"/>
  <c r="B32" i="6"/>
  <c r="F31" i="6"/>
  <c r="G31" i="6" s="1"/>
  <c r="B31" i="6"/>
  <c r="F30" i="6"/>
  <c r="G30" i="6" s="1"/>
  <c r="B30" i="6"/>
  <c r="F29" i="6"/>
  <c r="G29" i="6" s="1"/>
  <c r="B29" i="6"/>
  <c r="F25" i="6"/>
  <c r="C25" i="6"/>
  <c r="F24" i="6"/>
  <c r="C4" i="3"/>
  <c r="C5" i="3"/>
  <c r="C6" i="3"/>
  <c r="E4" i="3"/>
  <c r="G4" i="3" s="1"/>
  <c r="E5" i="3"/>
  <c r="G5" i="3" s="1"/>
  <c r="E6" i="3"/>
  <c r="G6" i="3" s="1"/>
  <c r="F4" i="3"/>
  <c r="F5" i="3"/>
  <c r="F6" i="3"/>
  <c r="E4" i="9"/>
  <c r="B11" i="7" s="1" a="1"/>
  <c r="B11" i="7" s="1"/>
  <c r="B12" i="7" s="1"/>
  <c r="E5" i="8"/>
  <c r="B8" i="7" s="1" a="1"/>
  <c r="B8" i="7" s="1"/>
  <c r="E55" i="6"/>
  <c r="G54" i="6"/>
  <c r="B54" i="6"/>
  <c r="F53" i="6"/>
  <c r="G53" i="6" s="1"/>
  <c r="B53" i="6"/>
  <c r="F52" i="6"/>
  <c r="G52" i="6" s="1"/>
  <c r="B52" i="6"/>
  <c r="F51" i="6"/>
  <c r="G51" i="6" s="1"/>
  <c r="B51" i="6"/>
  <c r="F50" i="6"/>
  <c r="G50" i="6" s="1"/>
  <c r="B50" i="6"/>
  <c r="F49" i="6"/>
  <c r="G49" i="6" s="1"/>
  <c r="B49" i="6"/>
  <c r="F45" i="6"/>
  <c r="C45" i="6"/>
  <c r="F44" i="6"/>
  <c r="C7" i="3"/>
  <c r="C8" i="3"/>
  <c r="C9" i="3"/>
  <c r="C10" i="3"/>
  <c r="E7" i="3"/>
  <c r="G7" i="3" s="1"/>
  <c r="E8" i="3"/>
  <c r="G8" i="3" s="1"/>
  <c r="E9" i="3"/>
  <c r="G9" i="3" s="1"/>
  <c r="E10" i="3"/>
  <c r="G10" i="3" s="1"/>
  <c r="F7" i="3"/>
  <c r="F8" i="3"/>
  <c r="F9" i="3"/>
  <c r="F10" i="3"/>
  <c r="D18" i="1"/>
  <c r="E18" i="1"/>
  <c r="H18" i="1"/>
  <c r="I18" i="1" s="1"/>
  <c r="F5" i="4"/>
  <c r="F4" i="4"/>
  <c r="C5" i="4"/>
  <c r="E15" i="4"/>
  <c r="G14" i="4"/>
  <c r="F13" i="4"/>
  <c r="G13" i="4" s="1"/>
  <c r="B10" i="4"/>
  <c r="B11" i="4"/>
  <c r="B12" i="4"/>
  <c r="B13" i="4"/>
  <c r="B14" i="4"/>
  <c r="B9" i="4"/>
  <c r="C6" i="2"/>
  <c r="C5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2" i="1"/>
  <c r="H3" i="1"/>
  <c r="I3" i="1" s="1"/>
  <c r="H4" i="1"/>
  <c r="F11" i="4" s="1"/>
  <c r="G11" i="4" s="1"/>
  <c r="H5" i="1"/>
  <c r="H6" i="1"/>
  <c r="H7" i="1"/>
  <c r="H8" i="1"/>
  <c r="H9" i="1"/>
  <c r="H10" i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2" i="1"/>
  <c r="F9" i="4" s="1"/>
  <c r="G9" i="4" s="1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2" i="1"/>
  <c r="C4" i="2"/>
  <c r="C3" i="2"/>
  <c r="I4" i="1"/>
  <c r="I5" i="1"/>
  <c r="I6" i="1"/>
  <c r="I7" i="1"/>
  <c r="I8" i="1"/>
  <c r="I9" i="1"/>
  <c r="I10" i="1"/>
  <c r="I2" i="1"/>
  <c r="G16" i="6" l="1"/>
  <c r="G17" i="6"/>
  <c r="H3" i="3"/>
  <c r="B5" i="7"/>
  <c r="H2" i="3"/>
  <c r="G35" i="6"/>
  <c r="G36" i="6" s="1"/>
  <c r="G37" i="6" s="1"/>
  <c r="H6" i="3"/>
  <c r="H5" i="3"/>
  <c r="H4" i="3"/>
  <c r="F11" i="3"/>
  <c r="B3" i="7" s="1" a="1"/>
  <c r="B3" i="7" s="1"/>
  <c r="G11" i="3"/>
  <c r="B2" i="7" s="1" a="1"/>
  <c r="B2" i="7" s="1"/>
  <c r="B9" i="7" s="1"/>
  <c r="E11" i="3"/>
  <c r="G55" i="6"/>
  <c r="G56" i="6" s="1"/>
  <c r="G57" i="6" s="1"/>
  <c r="H9" i="3"/>
  <c r="H7" i="3"/>
  <c r="H10" i="3"/>
  <c r="H8" i="3"/>
  <c r="C4" i="1"/>
  <c r="C3" i="1"/>
  <c r="C5" i="1"/>
  <c r="C6" i="1"/>
  <c r="C18" i="1"/>
  <c r="F12" i="4"/>
  <c r="G12" i="4" s="1"/>
  <c r="F10" i="4"/>
  <c r="G10" i="4" s="1"/>
  <c r="C2" i="1"/>
  <c r="C7" i="1"/>
  <c r="C17" i="1"/>
  <c r="C14" i="1"/>
  <c r="C16" i="1"/>
  <c r="C15" i="1"/>
  <c r="C12" i="1"/>
  <c r="C10" i="1"/>
  <c r="C13" i="1"/>
  <c r="C9" i="1"/>
  <c r="C11" i="1"/>
  <c r="C8" i="1"/>
  <c r="H11" i="3" l="1"/>
  <c r="B4" i="7" s="1" a="1"/>
  <c r="B4" i="7" s="1"/>
  <c r="G15" i="4"/>
  <c r="G16" i="4" l="1"/>
  <c r="G1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<sst xmlns="http://schemas.openxmlformats.org/spreadsheetml/2006/main" count="196" uniqueCount="74">
  <si>
    <t>CODIGO</t>
  </si>
  <si>
    <t>PRODUCTO</t>
  </si>
  <si>
    <t>CANTIDAD EX</t>
  </si>
  <si>
    <t xml:space="preserve">ENTRADAS </t>
  </si>
  <si>
    <t>SALIDAS</t>
  </si>
  <si>
    <t>PRECIO DE COMPRA</t>
  </si>
  <si>
    <t>PRECIO DE VENTA</t>
  </si>
  <si>
    <t>GANANCIA</t>
  </si>
  <si>
    <t>Zapato</t>
  </si>
  <si>
    <t>% RENTABILIDAD</t>
  </si>
  <si>
    <t>ZAPATILLA</t>
  </si>
  <si>
    <t>FECHA</t>
  </si>
  <si>
    <t>CANTIDAD</t>
  </si>
  <si>
    <t xml:space="preserve">PRECIO DE VENTA </t>
  </si>
  <si>
    <t>TOTAL DE VENTA</t>
  </si>
  <si>
    <t>121Y21</t>
  </si>
  <si>
    <t>DIRECCIÓN</t>
  </si>
  <si>
    <t>NOMBRE/RAZÓN SOCIAL</t>
  </si>
  <si>
    <t>ASD</t>
  </si>
  <si>
    <t>ERNESTO</t>
  </si>
  <si>
    <t>FLOR SILVESTRE</t>
  </si>
  <si>
    <t>N° de cliente</t>
  </si>
  <si>
    <t>N°. FACTURA</t>
  </si>
  <si>
    <t>DATOS DEL CLIENTE</t>
  </si>
  <si>
    <t>N°. CLIENTE</t>
  </si>
  <si>
    <t>TELÉFONO</t>
  </si>
  <si>
    <t>DETALLES DE COMPRA</t>
  </si>
  <si>
    <t>FORMA DE PAGO</t>
  </si>
  <si>
    <t>P.V.P</t>
  </si>
  <si>
    <t>IMPORTE</t>
  </si>
  <si>
    <t>TOTAL ARTÍCULOS</t>
  </si>
  <si>
    <t>SUBTOTAL</t>
  </si>
  <si>
    <t>IVA</t>
  </si>
  <si>
    <t>TOTAL</t>
  </si>
  <si>
    <t>Recíbi conforme:</t>
  </si>
  <si>
    <t>ALEJANDRO VAZQUEZ</t>
  </si>
  <si>
    <t xml:space="preserve">SANTA MARIA </t>
  </si>
  <si>
    <t>Tabaco con moño</t>
  </si>
  <si>
    <t>560T</t>
  </si>
  <si>
    <t>560A</t>
  </si>
  <si>
    <t>560N</t>
  </si>
  <si>
    <t>Moño con agujeta Azul</t>
  </si>
  <si>
    <t>Moño con agujeta Negro</t>
  </si>
  <si>
    <t>560R</t>
  </si>
  <si>
    <t>DIANA</t>
  </si>
  <si>
    <t>IXTLAHUCAN</t>
  </si>
  <si>
    <t>EFECTIVO</t>
  </si>
  <si>
    <t>METODO DE PAGO</t>
  </si>
  <si>
    <t>CREDITO</t>
  </si>
  <si>
    <t>RESUMEN DE CAJA PRINCIPAL</t>
  </si>
  <si>
    <t>RESUMEN CAJA MENOR</t>
  </si>
  <si>
    <t>SALDO CAJA</t>
  </si>
  <si>
    <t>TOTAL VENTA</t>
  </si>
  <si>
    <t>TOTAL COSTO</t>
  </si>
  <si>
    <t>TOTAL GANANCIA</t>
  </si>
  <si>
    <t>TOTAL  EFECTIVO</t>
  </si>
  <si>
    <t>TOTAL CREDITO</t>
  </si>
  <si>
    <t>TOTAL GASTOS</t>
  </si>
  <si>
    <t>TOTAL NETO</t>
  </si>
  <si>
    <t>TOTAL COMPRAS</t>
  </si>
  <si>
    <t>TOTAL EFECTIVO</t>
  </si>
  <si>
    <t>Total</t>
  </si>
  <si>
    <t>TARJETA</t>
  </si>
  <si>
    <t>TOTAL TARGETA</t>
  </si>
  <si>
    <t>COMPRAS CAJA PRINCIPAL</t>
  </si>
  <si>
    <t>FACTURA No</t>
  </si>
  <si>
    <t>NOMBRE / RAZON SOCIAL</t>
  </si>
  <si>
    <t>CONCEPTO</t>
  </si>
  <si>
    <t>VALOR</t>
  </si>
  <si>
    <t>PIEL SINTETICA</t>
  </si>
  <si>
    <t>ARANDALAS</t>
  </si>
  <si>
    <t>COMPRAS CAJA MENOR</t>
  </si>
  <si>
    <t>MERCADO</t>
  </si>
  <si>
    <t>PIZZA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</si>
</sst>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44" formatCode="_-&quot;$&quot;* #,##0.00_-;\-&quot;$&quot;* #,##0.00_-;_-&quot;$&quot;* &quot;-&quot;??_-;_-@_-"/>
    <numFmt numFmtId="164" formatCode="&quot;$&quot;#,##0.00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1" xfId="0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6" fontId="0" fillId="0" borderId="10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6" fontId="0" fillId="0" borderId="6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6" fontId="0" fillId="0" borderId="7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164" fontId="0" fillId="0" borderId="14" xfId="1" applyNumberFormat="1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11" xfId="1" applyFont="1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0" fillId="0" borderId="7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164" fontId="2" fillId="3" borderId="1" xfId="1" applyNumberFormat="1" applyFont="1" applyFill="1" applyBorder="1" applyAlignment="1">
      <alignment vertical="center"/>
    </xf>
    <xf numFmtId="44" fontId="0" fillId="0" borderId="10" xfId="0" applyNumberFormat="1" applyBorder="1" applyAlignment="1">
      <alignment horizontal="center" vertical="center"/>
    </xf>
    <xf numFmtId="44" fontId="0" fillId="0" borderId="11" xfId="0" applyNumberFormat="1" applyBorder="1" applyAlignment="1">
      <alignment horizontal="center" vertical="center"/>
    </xf>
    <xf numFmtId="44" fontId="0" fillId="0" borderId="9" xfId="0" applyNumberForma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85"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4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0" formatCode="&quot;$&quot;#,##0;[Red]\-&quot;$&quot;#,##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&quot;$&quot;#,##0.0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0" formatCode="&quot;$&quot;#,##0;[Red]\-&quot;$&quot;#,##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ASTOS CAJA PRINCIPAL'!A1"/><Relationship Id="rId3" Type="http://schemas.openxmlformats.org/officeDocument/2006/relationships/hyperlink" Target="#'HISTORIAL DE FACTURACION'!A1"/><Relationship Id="rId7" Type="http://schemas.openxmlformats.org/officeDocument/2006/relationships/hyperlink" Target="#'DATOS DEL CLIENTE'!A1"/><Relationship Id="rId2" Type="http://schemas.openxmlformats.org/officeDocument/2006/relationships/hyperlink" Target="#PRODUCTOS!A1"/><Relationship Id="rId1" Type="http://schemas.openxmlformats.org/officeDocument/2006/relationships/image" Target="../media/image1.png"/><Relationship Id="rId6" Type="http://schemas.openxmlformats.org/officeDocument/2006/relationships/hyperlink" Target="#ENTRADAS!A1"/><Relationship Id="rId5" Type="http://schemas.openxmlformats.org/officeDocument/2006/relationships/hyperlink" Target="#SALIDAS!A1"/><Relationship Id="rId10" Type="http://schemas.openxmlformats.org/officeDocument/2006/relationships/hyperlink" Target="#'GASTOS CAJA MENOR'!A1"/><Relationship Id="rId4" Type="http://schemas.openxmlformats.org/officeDocument/2006/relationships/hyperlink" Target="#FACTURA!A1"/><Relationship Id="rId9" Type="http://schemas.openxmlformats.org/officeDocument/2006/relationships/hyperlink" Target="#'RESUMEN DE CAJA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0</xdr:colOff>
      <xdr:row>13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E16413C-B4E5-D4FC-E871-162674826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86000" cy="2486025"/>
        </a:xfrm>
        <a:prstGeom prst="rect">
          <a:avLst/>
        </a:prstGeom>
      </xdr:spPr>
    </xdr:pic>
    <xdr:clientData/>
  </xdr:twoCellAnchor>
  <xdr:twoCellAnchor>
    <xdr:from>
      <xdr:col>3</xdr:col>
      <xdr:colOff>9525</xdr:colOff>
      <xdr:row>8</xdr:row>
      <xdr:rowOff>0</xdr:rowOff>
    </xdr:from>
    <xdr:to>
      <xdr:col>5</xdr:col>
      <xdr:colOff>19050</xdr:colOff>
      <xdr:row>10</xdr:row>
      <xdr:rowOff>0</xdr:rowOff>
    </xdr:to>
    <xdr:sp macro="" textlink="">
      <xdr:nvSpPr>
        <xdr:cNvPr id="3" name="Cuadro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2373753-B790-6513-EB17-63DB61724AE9}"/>
            </a:ext>
          </a:extLst>
        </xdr:cNvPr>
        <xdr:cNvSpPr txBox="1"/>
      </xdr:nvSpPr>
      <xdr:spPr>
        <a:xfrm>
          <a:off x="2295525" y="1524000"/>
          <a:ext cx="15335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PRODUCTOS.</a:t>
          </a:r>
        </a:p>
      </xdr:txBody>
    </xdr:sp>
    <xdr:clientData/>
  </xdr:twoCellAnchor>
  <xdr:twoCellAnchor>
    <xdr:from>
      <xdr:col>7</xdr:col>
      <xdr:colOff>276225</xdr:colOff>
      <xdr:row>10</xdr:row>
      <xdr:rowOff>180975</xdr:rowOff>
    </xdr:from>
    <xdr:to>
      <xdr:col>9</xdr:col>
      <xdr:colOff>285750</xdr:colOff>
      <xdr:row>12</xdr:row>
      <xdr:rowOff>180975</xdr:rowOff>
    </xdr:to>
    <xdr:sp macro="" textlink="">
      <xdr:nvSpPr>
        <xdr:cNvPr id="4" name="CuadroTex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D4D36A-D9CF-4370-8737-EF8684989D45}"/>
            </a:ext>
          </a:extLst>
        </xdr:cNvPr>
        <xdr:cNvSpPr txBox="1"/>
      </xdr:nvSpPr>
      <xdr:spPr>
        <a:xfrm>
          <a:off x="5610225" y="2085975"/>
          <a:ext cx="15335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HISTORIAL.</a:t>
          </a:r>
        </a:p>
      </xdr:txBody>
    </xdr:sp>
    <xdr:clientData/>
  </xdr:twoCellAnchor>
  <xdr:twoCellAnchor>
    <xdr:from>
      <xdr:col>5</xdr:col>
      <xdr:colOff>133350</xdr:colOff>
      <xdr:row>10</xdr:row>
      <xdr:rowOff>180975</xdr:rowOff>
    </xdr:from>
    <xdr:to>
      <xdr:col>7</xdr:col>
      <xdr:colOff>142875</xdr:colOff>
      <xdr:row>12</xdr:row>
      <xdr:rowOff>180975</xdr:rowOff>
    </xdr:to>
    <xdr:sp macro="" textlink="">
      <xdr:nvSpPr>
        <xdr:cNvPr id="5" name="CuadroTex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0686FEC-B805-47B6-80DE-892F5B02FF3B}"/>
            </a:ext>
          </a:extLst>
        </xdr:cNvPr>
        <xdr:cNvSpPr txBox="1"/>
      </xdr:nvSpPr>
      <xdr:spPr>
        <a:xfrm>
          <a:off x="3943350" y="2085975"/>
          <a:ext cx="15335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FACTURA.</a:t>
          </a:r>
        </a:p>
      </xdr:txBody>
    </xdr:sp>
    <xdr:clientData/>
  </xdr:twoCellAnchor>
  <xdr:twoCellAnchor>
    <xdr:from>
      <xdr:col>7</xdr:col>
      <xdr:colOff>276225</xdr:colOff>
      <xdr:row>8</xdr:row>
      <xdr:rowOff>0</xdr:rowOff>
    </xdr:from>
    <xdr:to>
      <xdr:col>9</xdr:col>
      <xdr:colOff>285750</xdr:colOff>
      <xdr:row>10</xdr:row>
      <xdr:rowOff>0</xdr:rowOff>
    </xdr:to>
    <xdr:sp macro="" textlink="">
      <xdr:nvSpPr>
        <xdr:cNvPr id="6" name="CuadroTex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9C40B9-7AF3-4098-A2C0-E337318478B8}"/>
            </a:ext>
          </a:extLst>
        </xdr:cNvPr>
        <xdr:cNvSpPr txBox="1"/>
      </xdr:nvSpPr>
      <xdr:spPr>
        <a:xfrm>
          <a:off x="5610225" y="1524000"/>
          <a:ext cx="15335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SALIDAS.</a:t>
          </a:r>
        </a:p>
      </xdr:txBody>
    </xdr:sp>
    <xdr:clientData/>
  </xdr:twoCellAnchor>
  <xdr:twoCellAnchor>
    <xdr:from>
      <xdr:col>5</xdr:col>
      <xdr:colOff>133350</xdr:colOff>
      <xdr:row>8</xdr:row>
      <xdr:rowOff>0</xdr:rowOff>
    </xdr:from>
    <xdr:to>
      <xdr:col>7</xdr:col>
      <xdr:colOff>142875</xdr:colOff>
      <xdr:row>10</xdr:row>
      <xdr:rowOff>0</xdr:rowOff>
    </xdr:to>
    <xdr:sp macro="" textlink="">
      <xdr:nvSpPr>
        <xdr:cNvPr id="7" name="CuadroText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64D417C-1A5F-4A84-BC44-7B1B5D318D80}"/>
            </a:ext>
          </a:extLst>
        </xdr:cNvPr>
        <xdr:cNvSpPr txBox="1"/>
      </xdr:nvSpPr>
      <xdr:spPr>
        <a:xfrm>
          <a:off x="3943350" y="1524000"/>
          <a:ext cx="15335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ENTRADAS.</a:t>
          </a:r>
        </a:p>
      </xdr:txBody>
    </xdr:sp>
    <xdr:clientData/>
  </xdr:twoCellAnchor>
  <xdr:twoCellAnchor>
    <xdr:from>
      <xdr:col>3</xdr:col>
      <xdr:colOff>9525</xdr:colOff>
      <xdr:row>10</xdr:row>
      <xdr:rowOff>180975</xdr:rowOff>
    </xdr:from>
    <xdr:to>
      <xdr:col>5</xdr:col>
      <xdr:colOff>19050</xdr:colOff>
      <xdr:row>12</xdr:row>
      <xdr:rowOff>180975</xdr:rowOff>
    </xdr:to>
    <xdr:sp macro="" textlink="">
      <xdr:nvSpPr>
        <xdr:cNvPr id="8" name="CuadroText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FFAD13B-A20E-440B-849E-F9AFAE7BD63F}"/>
            </a:ext>
          </a:extLst>
        </xdr:cNvPr>
        <xdr:cNvSpPr txBox="1"/>
      </xdr:nvSpPr>
      <xdr:spPr>
        <a:xfrm>
          <a:off x="2295525" y="2085975"/>
          <a:ext cx="15335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CLIENTES.</a:t>
          </a:r>
        </a:p>
      </xdr:txBody>
    </xdr:sp>
    <xdr:clientData/>
  </xdr:twoCellAnchor>
  <xdr:twoCellAnchor>
    <xdr:from>
      <xdr:col>9</xdr:col>
      <xdr:colOff>457200</xdr:colOff>
      <xdr:row>8</xdr:row>
      <xdr:rowOff>0</xdr:rowOff>
    </xdr:from>
    <xdr:to>
      <xdr:col>13</xdr:col>
      <xdr:colOff>9525</xdr:colOff>
      <xdr:row>10</xdr:row>
      <xdr:rowOff>0</xdr:rowOff>
    </xdr:to>
    <xdr:sp macro="" textlink="">
      <xdr:nvSpPr>
        <xdr:cNvPr id="10" name="CuadroText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3870AF5-57F0-4F3C-8BF2-332095ED3DA0}"/>
            </a:ext>
          </a:extLst>
        </xdr:cNvPr>
        <xdr:cNvSpPr txBox="1"/>
      </xdr:nvSpPr>
      <xdr:spPr>
        <a:xfrm>
          <a:off x="7315200" y="1524000"/>
          <a:ext cx="2600325" cy="381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GASTOS CAJA PRINCIPAL.</a:t>
          </a:r>
        </a:p>
      </xdr:txBody>
    </xdr:sp>
    <xdr:clientData/>
  </xdr:twoCellAnchor>
  <xdr:twoCellAnchor>
    <xdr:from>
      <xdr:col>13</xdr:col>
      <xdr:colOff>333375</xdr:colOff>
      <xdr:row>9</xdr:row>
      <xdr:rowOff>0</xdr:rowOff>
    </xdr:from>
    <xdr:to>
      <xdr:col>15</xdr:col>
      <xdr:colOff>352424</xdr:colOff>
      <xdr:row>12</xdr:row>
      <xdr:rowOff>0</xdr:rowOff>
    </xdr:to>
    <xdr:sp macro="" textlink="">
      <xdr:nvSpPr>
        <xdr:cNvPr id="11" name="CuadroText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9F4AD6C-4E80-4E83-8914-05CB9B1571F1}"/>
            </a:ext>
          </a:extLst>
        </xdr:cNvPr>
        <xdr:cNvSpPr txBox="1"/>
      </xdr:nvSpPr>
      <xdr:spPr>
        <a:xfrm>
          <a:off x="10239375" y="1714500"/>
          <a:ext cx="1543049" cy="571500"/>
        </a:xfrm>
        <a:prstGeom prst="rect">
          <a:avLst/>
        </a:prstGeom>
        <a:solidFill>
          <a:srgbClr val="7030A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RESUMEN DE CAJAS.</a:t>
          </a:r>
        </a:p>
      </xdr:txBody>
    </xdr:sp>
    <xdr:clientData/>
  </xdr:twoCellAnchor>
  <xdr:twoCellAnchor>
    <xdr:from>
      <xdr:col>9</xdr:col>
      <xdr:colOff>457200</xdr:colOff>
      <xdr:row>10</xdr:row>
      <xdr:rowOff>180975</xdr:rowOff>
    </xdr:from>
    <xdr:to>
      <xdr:col>13</xdr:col>
      <xdr:colOff>9525</xdr:colOff>
      <xdr:row>12</xdr:row>
      <xdr:rowOff>180975</xdr:rowOff>
    </xdr:to>
    <xdr:sp macro="" textlink="">
      <xdr:nvSpPr>
        <xdr:cNvPr id="14" name="CuadroTexto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FBBA5F-2C32-4CCA-8A58-DDA6C4B18B6D}"/>
            </a:ext>
          </a:extLst>
        </xdr:cNvPr>
        <xdr:cNvSpPr txBox="1"/>
      </xdr:nvSpPr>
      <xdr:spPr>
        <a:xfrm>
          <a:off x="7315200" y="2085975"/>
          <a:ext cx="2600325" cy="381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latin typeface="Times New Roman" panose="02020603050405020304" pitchFamily="18" charset="0"/>
              <a:cs typeface="Times New Roman" panose="02020603050405020304" pitchFamily="18" charset="0"/>
            </a:rPr>
            <a:t>GASTOS CAJA CHICA.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1</xdr:row>
      <xdr:rowOff>0</xdr:rowOff>
    </xdr:from>
    <xdr:to>
      <xdr:col>12</xdr:col>
      <xdr:colOff>0</xdr:colOff>
      <xdr:row>3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41B85E-93D5-4241-9703-D74558A10C12}"/>
            </a:ext>
          </a:extLst>
        </xdr:cNvPr>
        <xdr:cNvSpPr txBox="1"/>
      </xdr:nvSpPr>
      <xdr:spPr>
        <a:xfrm>
          <a:off x="10239375" y="1905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19050</xdr:colOff>
      <xdr:row>2</xdr:row>
      <xdr:rowOff>0</xdr:rowOff>
    </xdr:from>
    <xdr:to>
      <xdr:col>8</xdr:col>
      <xdr:colOff>19050</xdr:colOff>
      <xdr:row>4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676F9D0-5E77-4597-BA5B-488B45EA0EA3}"/>
            </a:ext>
          </a:extLst>
        </xdr:cNvPr>
        <xdr:cNvSpPr txBox="1"/>
      </xdr:nvSpPr>
      <xdr:spPr>
        <a:xfrm>
          <a:off x="5676900" y="3810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2</xdr:row>
      <xdr:rowOff>0</xdr:rowOff>
    </xdr:from>
    <xdr:to>
      <xdr:col>13</xdr:col>
      <xdr:colOff>0</xdr:colOff>
      <xdr:row>4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17FD06-F3E0-4FCF-8A0A-96859360D54E}"/>
            </a:ext>
          </a:extLst>
        </xdr:cNvPr>
        <xdr:cNvSpPr txBox="1"/>
      </xdr:nvSpPr>
      <xdr:spPr>
        <a:xfrm>
          <a:off x="12506325" y="3810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3</xdr:row>
      <xdr:rowOff>0</xdr:rowOff>
    </xdr:from>
    <xdr:to>
      <xdr:col>8</xdr:col>
      <xdr:colOff>0</xdr:colOff>
      <xdr:row>5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340513-98F1-4E22-BAE4-7115B2BAD9EA}"/>
            </a:ext>
          </a:extLst>
        </xdr:cNvPr>
        <xdr:cNvSpPr txBox="1"/>
      </xdr:nvSpPr>
      <xdr:spPr>
        <a:xfrm>
          <a:off x="6867525" y="5715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180975</xdr:rowOff>
    </xdr:from>
    <xdr:to>
      <xdr:col>12</xdr:col>
      <xdr:colOff>0</xdr:colOff>
      <xdr:row>4</xdr:row>
      <xdr:rowOff>9525</xdr:rowOff>
    </xdr:to>
    <xdr:sp macro="[0]!GUARDARFACTURACION" textlink="">
      <xdr:nvSpPr>
        <xdr:cNvPr id="2" name="CuadroTexto 1">
          <a:extLst>
            <a:ext uri="{FF2B5EF4-FFF2-40B4-BE49-F238E27FC236}">
              <a16:creationId xmlns:a16="http://schemas.microsoft.com/office/drawing/2014/main" id="{24AC2449-ED8B-66F5-65E2-85477E82B769}"/>
            </a:ext>
          </a:extLst>
        </xdr:cNvPr>
        <xdr:cNvSpPr txBox="1"/>
      </xdr:nvSpPr>
      <xdr:spPr>
        <a:xfrm>
          <a:off x="6819900" y="371475"/>
          <a:ext cx="3048000" cy="400050"/>
        </a:xfrm>
        <a:prstGeom prst="rect">
          <a:avLst/>
        </a:prstGeom>
        <a:ln>
          <a:solidFill>
            <a:srgbClr val="00206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GUARDAR FACTURA.</a:t>
          </a:r>
        </a:p>
      </xdr:txBody>
    </xdr:sp>
    <xdr:clientData/>
  </xdr:twoCellAnchor>
  <xdr:twoCellAnchor>
    <xdr:from>
      <xdr:col>8</xdr:col>
      <xdr:colOff>9525</xdr:colOff>
      <xdr:row>5</xdr:row>
      <xdr:rowOff>171450</xdr:rowOff>
    </xdr:from>
    <xdr:to>
      <xdr:col>12</xdr:col>
      <xdr:colOff>9525</xdr:colOff>
      <xdr:row>8</xdr:row>
      <xdr:rowOff>0</xdr:rowOff>
    </xdr:to>
    <xdr:sp macro="[0]!NUEVAFACTURA" textlink="">
      <xdr:nvSpPr>
        <xdr:cNvPr id="4" name="CuadroTexto 3">
          <a:extLst>
            <a:ext uri="{FF2B5EF4-FFF2-40B4-BE49-F238E27FC236}">
              <a16:creationId xmlns:a16="http://schemas.microsoft.com/office/drawing/2014/main" id="{3E14C647-ADCC-4DBB-BA9D-C89E8AB50A9A}"/>
            </a:ext>
          </a:extLst>
        </xdr:cNvPr>
        <xdr:cNvSpPr txBox="1"/>
      </xdr:nvSpPr>
      <xdr:spPr>
        <a:xfrm>
          <a:off x="6829425" y="1123950"/>
          <a:ext cx="3048000" cy="400050"/>
        </a:xfrm>
        <a:prstGeom prst="rect">
          <a:avLst/>
        </a:prstGeom>
        <a:ln>
          <a:solidFill>
            <a:srgbClr val="00206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NUEVA FACTURA.</a:t>
          </a:r>
        </a:p>
      </xdr:txBody>
    </xdr:sp>
    <xdr:clientData/>
  </xdr:twoCellAnchor>
  <xdr:twoCellAnchor editAs="absolute">
    <xdr:from>
      <xdr:col>9</xdr:col>
      <xdr:colOff>0</xdr:colOff>
      <xdr:row>12</xdr:row>
      <xdr:rowOff>47625</xdr:rowOff>
    </xdr:from>
    <xdr:to>
      <xdr:col>11</xdr:col>
      <xdr:colOff>0</xdr:colOff>
      <xdr:row>14</xdr:row>
      <xdr:rowOff>171450</xdr:rowOff>
    </xdr:to>
    <xdr:sp macro="" textlink="">
      <xdr:nvSpPr>
        <xdr:cNvPr id="5" name="CuadroText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A49EA81-D1B4-4D4D-9741-B2908F25E5A7}"/>
            </a:ext>
          </a:extLst>
        </xdr:cNvPr>
        <xdr:cNvSpPr txBox="1"/>
      </xdr:nvSpPr>
      <xdr:spPr>
        <a:xfrm>
          <a:off x="7581900" y="2333625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5</xdr:row>
      <xdr:rowOff>0</xdr:rowOff>
    </xdr:from>
    <xdr:to>
      <xdr:col>11</xdr:col>
      <xdr:colOff>0</xdr:colOff>
      <xdr:row>7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022D53-EBD9-4068-A529-79974538F86E}"/>
            </a:ext>
          </a:extLst>
        </xdr:cNvPr>
        <xdr:cNvSpPr txBox="1"/>
      </xdr:nvSpPr>
      <xdr:spPr>
        <a:xfrm>
          <a:off x="6858000" y="9525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752475</xdr:colOff>
      <xdr:row>2</xdr:row>
      <xdr:rowOff>180975</xdr:rowOff>
    </xdr:from>
    <xdr:to>
      <xdr:col>7</xdr:col>
      <xdr:colOff>752475</xdr:colOff>
      <xdr:row>5</xdr:row>
      <xdr:rowOff>114300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9189F3-9960-4A19-A29A-56B38D0B055F}"/>
            </a:ext>
          </a:extLst>
        </xdr:cNvPr>
        <xdr:cNvSpPr txBox="1"/>
      </xdr:nvSpPr>
      <xdr:spPr>
        <a:xfrm>
          <a:off x="6143625" y="561975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</xdr:colOff>
      <xdr:row>2</xdr:row>
      <xdr:rowOff>0</xdr:rowOff>
    </xdr:from>
    <xdr:to>
      <xdr:col>8</xdr:col>
      <xdr:colOff>9525</xdr:colOff>
      <xdr:row>4</xdr:row>
      <xdr:rowOff>123825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07B70C-AB1B-466F-9E5B-B875BB80FF60}"/>
            </a:ext>
          </a:extLst>
        </xdr:cNvPr>
        <xdr:cNvSpPr txBox="1"/>
      </xdr:nvSpPr>
      <xdr:spPr>
        <a:xfrm>
          <a:off x="5810250" y="381000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2</xdr:row>
      <xdr:rowOff>180975</xdr:rowOff>
    </xdr:from>
    <xdr:to>
      <xdr:col>7</xdr:col>
      <xdr:colOff>9525</xdr:colOff>
      <xdr:row>5</xdr:row>
      <xdr:rowOff>114300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CDEA10-E673-45F6-8010-20754AA42923}"/>
            </a:ext>
          </a:extLst>
        </xdr:cNvPr>
        <xdr:cNvSpPr txBox="1"/>
      </xdr:nvSpPr>
      <xdr:spPr>
        <a:xfrm>
          <a:off x="4581525" y="561975"/>
          <a:ext cx="1524000" cy="504825"/>
        </a:xfrm>
        <a:prstGeom prst="rect">
          <a:avLst/>
        </a:prstGeom>
        <a:solidFill>
          <a:srgbClr val="00206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 PRINCIPAL.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55BAAE-D83E-4594-8966-2BA30932CC4F}" name="PRODUCTOS.T" displayName="PRODUCTOS.T" ref="A1:I18" totalsRowShown="0" headerRowDxfId="84" dataDxfId="82" headerRowBorderDxfId="83" tableBorderDxfId="81" totalsRowBorderDxfId="80">
  <autoFilter ref="A1:I18" xr:uid="{DE55BAAE-D83E-4594-8966-2BA30932CC4F}"/>
  <tableColumns count="9">
    <tableColumn id="1" xr3:uid="{F36D8EE4-B88F-4553-91C2-FD58FBAEFFA6}" name="CODIGO" dataDxfId="79"/>
    <tableColumn id="2" xr3:uid="{1E75B0E1-1457-4147-85B6-19CD4F15E1BB}" name="PRODUCTO" dataDxfId="78"/>
    <tableColumn id="3" xr3:uid="{492AD799-5429-436C-81CC-B6FE07C3CD98}" name="CANTIDAD EX" dataDxfId="77">
      <calculatedColumnFormula>PRODUCTOS.T[[#This Row],[ENTRADAS ]]-PRODUCTOS.T[[#This Row],[SALIDAS]]</calculatedColumnFormula>
    </tableColumn>
    <tableColumn id="4" xr3:uid="{8EE41C6D-1B8A-4124-BEB6-68674DA168B2}" name="ENTRADAS " dataDxfId="76">
      <calculatedColumnFormula>SUMIF(ENTRADAS.T[CODIGO],PRODUCTOS.T[[#This Row],[CODIGO]],ENTRADAS.T[CANTIDAD])</calculatedColumnFormula>
    </tableColumn>
    <tableColumn id="5" xr3:uid="{99257D9A-8C3D-4B44-9796-6DDE1FDFAB1E}" name="SALIDAS" dataDxfId="75">
      <calculatedColumnFormula>SUMIF(SALIDAS.T[CODIGO],PRODUCTOS.T[[#This Row],[CODIGO]],SALIDAS.T[CANTIDAD])</calculatedColumnFormula>
    </tableColumn>
    <tableColumn id="6" xr3:uid="{6C69024F-D8D7-4D6E-BF29-095C0AC29136}" name="PRECIO DE COMPRA" dataDxfId="74"/>
    <tableColumn id="7" xr3:uid="{C05AA411-AA17-456C-8E3D-FFE8D53E775D}" name="% RENTABILIDAD" dataDxfId="73"/>
    <tableColumn id="8" xr3:uid="{AA27BE69-EF17-4697-B425-348604B413AB}" name="PRECIO DE VENTA" dataDxfId="72">
      <calculatedColumnFormula>(PRODUCTOS.T[[#This Row],[PRECIO DE COMPRA]]*PRODUCTOS.T[[#This Row],[% RENTABILIDAD]])+PRODUCTOS.T[[#This Row],[PRECIO DE COMPRA]]</calculatedColumnFormula>
    </tableColumn>
    <tableColumn id="9" xr3:uid="{36B1B43C-8789-4A98-A469-A9548011BB05}" name="GANANCIA" dataDxfId="71">
      <calculatedColumnFormula>PRODUCTOS.T[[#This Row],[PRECIO DE VENTA]]-PRODUCTOS.T[[#This Row],[PRECIO DE COMPRA]]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415D30-4C0B-4E68-8F24-D20A4F8139A5}" name="ENTRADAS.T" displayName="ENTRADAS.T" ref="A1:D6" totalsRowShown="0" headerRowDxfId="70" dataDxfId="68" headerRowBorderDxfId="69" tableBorderDxfId="67" totalsRowBorderDxfId="66">
  <autoFilter ref="A1:D6" xr:uid="{F2415D30-4C0B-4E68-8F24-D20A4F8139A5}"/>
  <tableColumns count="4">
    <tableColumn id="1" xr3:uid="{B7C07645-D5D5-4D1C-83EC-8AB5712EFFAA}" name="FECHA" dataDxfId="65"/>
    <tableColumn id="2" xr3:uid="{9BF44B5F-CFBD-4F81-A856-CB9331BEE067}" name="CODIGO" dataDxfId="64"/>
    <tableColumn id="3" xr3:uid="{78543840-3B3D-44C8-BCCC-95F20BD4404F}" name="PRODUCTO" dataDxfId="63">
      <calculatedColumnFormula xml:space="preserve"> IFERROR(VLOOKUP(ENTRADAS.T[[#This Row],[CODIGO]],PRODUCTOS.T[],2,FALSE )," ")</calculatedColumnFormula>
    </tableColumn>
    <tableColumn id="4" xr3:uid="{7B1CBC5F-C117-47C3-B82B-3ED1C251EDA7}" name="CANTIDAD" dataDxfId="6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856588-3F20-4D4F-A60D-4F50002A802C}" name="SALIDAS.T" displayName="SALIDAS.T" ref="A1:I11" totalsRowCount="1" headerRowDxfId="52" dataDxfId="50" headerRowBorderDxfId="51" tableBorderDxfId="49" totalsRowBorderDxfId="48">
  <autoFilter ref="A1:I10" xr:uid="{1D856588-3F20-4D4F-A60D-4F50002A802C}"/>
  <tableColumns count="9">
    <tableColumn id="1" xr3:uid="{9851530A-B7E1-4210-BFF7-3520EE232D02}" name="FECHA" totalsRowLabel="Total" dataDxfId="47" totalsRowDxfId="13"/>
    <tableColumn id="2" xr3:uid="{A9FAAC34-B7B5-44E5-BD8E-A5899AABBD7E}" name="CODIGO" dataDxfId="46" totalsRowDxfId="12"/>
    <tableColumn id="3" xr3:uid="{8271265F-BFD4-4E63-B5B4-67022985FBCC}" name="PRODUCTO" dataDxfId="45" totalsRowDxfId="11">
      <calculatedColumnFormula xml:space="preserve"> IFERROR(VLOOKUP(SALIDAS.T[[#This Row],[CODIGO]],PRODUCTOS.T[],2,FALSE )," ")</calculatedColumnFormula>
    </tableColumn>
    <tableColumn id="4" xr3:uid="{FE14FBAE-9B0D-43D8-9B61-CC7F207EACA9}" name="CANTIDAD" dataDxfId="44" totalsRowDxfId="10"/>
    <tableColumn id="5" xr3:uid="{D4CC5E45-4C6D-4022-B6A7-C312F3AE279B}" name="PRECIO DE VENTA " totalsRowFunction="sum" dataDxfId="43" totalsRowDxfId="9" dataCellStyle="Moneda">
      <calculatedColumnFormula>IFERROR(VLOOKUP(SALIDAS.T[[#This Row],[CODIGO]],PRODUCTOS.T[],8,FALSE)," ")</calculatedColumnFormula>
    </tableColumn>
    <tableColumn id="6" xr3:uid="{64A2CC2C-2C59-4727-AD11-2A15CE76270B}" name="PRECIO DE COMPRA" totalsRowFunction="sum" dataDxfId="42" totalsRowDxfId="8" dataCellStyle="Moneda">
      <calculatedColumnFormula>IFERROR(VLOOKUP(SALIDAS.T[[#This Row],[CODIGO]],PRODUCTOS.T[],6,FALSE)," ")</calculatedColumnFormula>
    </tableColumn>
    <tableColumn id="7" xr3:uid="{8B0848BA-1A68-43BE-88D7-A2CDEB559303}" name="TOTAL DE VENTA" totalsRowFunction="sum" dataDxfId="41" totalsRowDxfId="7">
      <calculatedColumnFormula>SALIDAS.T[[#This Row],[CANTIDAD]]*SALIDAS.T[[#This Row],[PRECIO DE VENTA ]]</calculatedColumnFormula>
    </tableColumn>
    <tableColumn id="8" xr3:uid="{84531DD9-3F02-4203-9BAB-05E3490FE771}" name="GANANCIA" totalsRowFunction="sum" dataDxfId="40" totalsRowDxfId="6">
      <calculatedColumnFormula>SALIDAS.T[[#This Row],[TOTAL DE VENTA]]-(SALIDAS.T[[#This Row],[CANTIDAD]]*SALIDAS.T[[#This Row],[PRECIO DE COMPRA]])</calculatedColumnFormula>
    </tableColumn>
    <tableColumn id="9" xr3:uid="{43DEC301-4DEB-4AFB-8913-3803043CC4D1}" name="METODO DE PAGO" dataDxfId="39" totalsRow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12CA5C-3EF9-4B82-900A-7187A6EC2F3E}" name="CLIENTES.T" displayName="CLIENTES.T" ref="A1:D4" totalsRowShown="0" headerRowDxfId="61" dataDxfId="59" headerRowBorderDxfId="60" tableBorderDxfId="58" totalsRowBorderDxfId="57">
  <autoFilter ref="A1:D4" xr:uid="{C012CA5C-3EF9-4B82-900A-7187A6EC2F3E}"/>
  <tableColumns count="4">
    <tableColumn id="1" xr3:uid="{A45EAE43-9D8D-4D47-BA90-A3E05C8E3843}" name="N° de cliente" dataDxfId="56"/>
    <tableColumn id="2" xr3:uid="{B7D81CE6-3B58-41E5-A29C-E56E51704402}" name="NOMBRE/RAZÓN SOCIAL" dataDxfId="55"/>
    <tableColumn id="3" xr3:uid="{F4D95C3D-4103-4939-8DA0-D869C9DECE8B}" name="DIRECCIÓN" dataDxfId="54"/>
    <tableColumn id="4" xr3:uid="{51F507ED-1BFE-4100-A3EB-72E2F12CD388}" name="TELÉFONO" dataDxfId="5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CF232C-BFE5-4547-B8D6-3271FF413477}" name="CAJAP.T" displayName="CAJAP.T" ref="A2:E5" totalsRowCount="1" headerRowDxfId="31" dataDxfId="38" headerRowBorderDxfId="36" tableBorderDxfId="37" totalsRowBorderDxfId="35">
  <autoFilter ref="A2:E4" xr:uid="{F4CF232C-BFE5-4547-B8D6-3271FF413477}"/>
  <tableColumns count="5">
    <tableColumn id="1" xr3:uid="{B936C947-CD3E-4F9F-9365-7AAA053A3C19}" name="FECHA" totalsRowLabel="Total" dataDxfId="34" totalsRowDxfId="28"/>
    <tableColumn id="2" xr3:uid="{2C7F6D8C-AAB5-409D-A7DC-E718963703EF}" name="FACTURA No" dataDxfId="33" totalsRowDxfId="27"/>
    <tableColumn id="3" xr3:uid="{D283E663-BB1F-49BB-BC35-B228AFC41E5F}" name="NOMBRE / RAZON SOCIAL" dataDxfId="32" totalsRowDxfId="26"/>
    <tableColumn id="4" xr3:uid="{1DC53240-4A4E-4998-850A-B5DAD813561F}" name="CONCEPTO" dataDxfId="30" totalsRowDxfId="25"/>
    <tableColumn id="5" xr3:uid="{CF1CCE26-0CCF-491B-B95C-2DB6339F337A}" name="VALOR" totalsRowFunction="sum" dataDxfId="29" totalsRowDxfId="24" dataCellStyle="Moneda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4F24C0-5164-4A71-B68D-520122AEEDCB}" name="CAJAM.T" displayName="CAJAM.T" ref="A2:E4" totalsRowCount="1" headerRowDxfId="15" dataDxfId="14" headerRowBorderDxfId="22" tableBorderDxfId="23" totalsRowBorderDxfId="21">
  <autoFilter ref="A2:E3" xr:uid="{044F24C0-5164-4A71-B68D-520122AEEDCB}"/>
  <tableColumns count="5">
    <tableColumn id="1" xr3:uid="{948E4CA3-5736-48C1-B97F-0F06825A1D56}" name="FECHA" totalsRowLabel="Total" dataDxfId="20" totalsRowDxfId="4"/>
    <tableColumn id="2" xr3:uid="{557F49BA-87C3-448B-AD64-4F9DE3CD1EE4}" name="FACTURA No" dataDxfId="19" totalsRowDxfId="3"/>
    <tableColumn id="3" xr3:uid="{07893E85-BDEE-4D68-9E4E-3666AE24AE5B}" name="NOMBRE / RAZON SOCIAL" dataDxfId="18" totalsRowDxfId="2"/>
    <tableColumn id="4" xr3:uid="{4C112833-6139-421E-8504-E75F6DF25185}" name="CONCEPTO" dataDxfId="17" totalsRowDxfId="1"/>
    <tableColumn id="5" xr3:uid="{1B3281E0-0D8B-4893-91FC-F39A291EA0FB}" name="VALOR" totalsRowFunction="sum" dataDxfId="16" totalsRowDxfId="0" dataCellStyle="Moneda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96402-6C46-4872-BC94-6174D13EDD20}">
  <dimension ref="A1"/>
  <sheetViews>
    <sheetView tabSelected="1" workbookViewId="0"/>
  </sheetViews>
  <sheetFormatPr baseColWidth="10" defaultRowHeight="15" x14ac:dyDescent="0.25"/>
  <cols>
    <col min="6" max="6" width="11.4257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E179-F29D-46C4-AE23-8E0A452C064F}">
  <sheetPr codeName="Hoja1"/>
  <dimension ref="A1:I18"/>
  <sheetViews>
    <sheetView workbookViewId="0"/>
  </sheetViews>
  <sheetFormatPr baseColWidth="10" defaultRowHeight="15" x14ac:dyDescent="0.25"/>
  <cols>
    <col min="1" max="1" width="11.42578125" style="9"/>
    <col min="2" max="2" width="22.85546875" style="9" customWidth="1"/>
    <col min="3" max="3" width="15" style="9" customWidth="1"/>
    <col min="4" max="4" width="13" style="9" customWidth="1"/>
    <col min="5" max="5" width="11.42578125" style="9"/>
    <col min="6" max="6" width="20.7109375" style="9" customWidth="1"/>
    <col min="7" max="7" width="16" style="9" customWidth="1"/>
    <col min="8" max="8" width="18.7109375" style="9" customWidth="1"/>
    <col min="9" max="9" width="13" style="9" customWidth="1"/>
    <col min="10" max="16384" width="11.42578125" style="9"/>
  </cols>
  <sheetData>
    <row r="1" spans="1:9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9</v>
      </c>
      <c r="H1" s="7" t="s">
        <v>6</v>
      </c>
      <c r="I1" s="8" t="s">
        <v>7</v>
      </c>
    </row>
    <row r="2" spans="1:9" x14ac:dyDescent="0.25">
      <c r="A2" s="10" t="s">
        <v>38</v>
      </c>
      <c r="B2" s="4" t="s">
        <v>37</v>
      </c>
      <c r="C2" s="4">
        <f>PRODUCTOS.T[[#This Row],[ENTRADAS ]]-PRODUCTOS.T[[#This Row],[SALIDAS]]</f>
        <v>-6</v>
      </c>
      <c r="D2" s="4">
        <f>SUMIF(ENTRADAS.T[CODIGO],PRODUCTOS.T[[#This Row],[CODIGO]],ENTRADAS.T[CANTIDAD])</f>
        <v>0</v>
      </c>
      <c r="E2" s="4">
        <f>SUMIF(SALIDAS.T[CODIGO],PRODUCTOS.T[[#This Row],[CODIGO]],SALIDAS.T[CANTIDAD])</f>
        <v>6</v>
      </c>
      <c r="F2" s="11">
        <v>2</v>
      </c>
      <c r="G2" s="12">
        <v>0.5</v>
      </c>
      <c r="H2" s="13">
        <f>(PRODUCTOS.T[[#This Row],[PRECIO DE COMPRA]]*PRODUCTOS.T[[#This Row],[% RENTABILIDAD]])+PRODUCTOS.T[[#This Row],[PRECIO DE COMPRA]]</f>
        <v>3</v>
      </c>
      <c r="I2" s="14">
        <f>PRODUCTOS.T[[#This Row],[PRECIO DE VENTA]]-PRODUCTOS.T[[#This Row],[PRECIO DE COMPRA]]</f>
        <v>1</v>
      </c>
    </row>
    <row r="3" spans="1:9" x14ac:dyDescent="0.25">
      <c r="A3" s="10" t="s">
        <v>39</v>
      </c>
      <c r="B3" s="4" t="s">
        <v>41</v>
      </c>
      <c r="C3" s="4">
        <f>PRODUCTOS.T[[#This Row],[ENTRADAS ]]-PRODUCTOS.T[[#This Row],[SALIDAS]]</f>
        <v>-31</v>
      </c>
      <c r="D3" s="4">
        <f>SUMIF(ENTRADAS.T[CODIGO],PRODUCTOS.T[[#This Row],[CODIGO]],ENTRADAS.T[CANTIDAD])</f>
        <v>0</v>
      </c>
      <c r="E3" s="4">
        <f>SUMIF(SALIDAS.T[CODIGO],PRODUCTOS.T[[#This Row],[CODIGO]],SALIDAS.T[CANTIDAD])</f>
        <v>31</v>
      </c>
      <c r="F3" s="11">
        <v>12</v>
      </c>
      <c r="G3" s="12">
        <v>0.5</v>
      </c>
      <c r="H3" s="13">
        <f>(PRODUCTOS.T[[#This Row],[PRECIO DE COMPRA]]*PRODUCTOS.T[[#This Row],[% RENTABILIDAD]])+PRODUCTOS.T[[#This Row],[PRECIO DE COMPRA]]</f>
        <v>18</v>
      </c>
      <c r="I3" s="14">
        <f>PRODUCTOS.T[[#This Row],[PRECIO DE VENTA]]-PRODUCTOS.T[[#This Row],[PRECIO DE COMPRA]]</f>
        <v>6</v>
      </c>
    </row>
    <row r="4" spans="1:9" x14ac:dyDescent="0.25">
      <c r="A4" s="10" t="s">
        <v>40</v>
      </c>
      <c r="B4" s="4" t="s">
        <v>42</v>
      </c>
      <c r="C4" s="4">
        <f>PRODUCTOS.T[[#This Row],[ENTRADAS ]]-PRODUCTOS.T[[#This Row],[SALIDAS]]</f>
        <v>-7</v>
      </c>
      <c r="D4" s="4">
        <f>SUMIF(ENTRADAS.T[CODIGO],PRODUCTOS.T[[#This Row],[CODIGO]],ENTRADAS.T[CANTIDAD])</f>
        <v>10</v>
      </c>
      <c r="E4" s="4">
        <f>SUMIF(SALIDAS.T[CODIGO],PRODUCTOS.T[[#This Row],[CODIGO]],SALIDAS.T[CANTIDAD])</f>
        <v>17</v>
      </c>
      <c r="F4" s="11">
        <v>4</v>
      </c>
      <c r="G4" s="12">
        <v>0.35</v>
      </c>
      <c r="H4" s="13">
        <f>(PRODUCTOS.T[[#This Row],[PRECIO DE COMPRA]]*PRODUCTOS.T[[#This Row],[% RENTABILIDAD]])+PRODUCTOS.T[[#This Row],[PRECIO DE COMPRA]]</f>
        <v>5.4</v>
      </c>
      <c r="I4" s="14">
        <f>PRODUCTOS.T[[#This Row],[PRECIO DE VENTA]]-PRODUCTOS.T[[#This Row],[PRECIO DE COMPRA]]</f>
        <v>1.4000000000000004</v>
      </c>
    </row>
    <row r="5" spans="1:9" x14ac:dyDescent="0.25">
      <c r="A5" s="10">
        <v>355</v>
      </c>
      <c r="B5" s="4" t="s">
        <v>8</v>
      </c>
      <c r="C5" s="4">
        <f>PRODUCTOS.T[[#This Row],[ENTRADAS ]]-PRODUCTOS.T[[#This Row],[SALIDAS]]</f>
        <v>0</v>
      </c>
      <c r="D5" s="4">
        <f>SUMIF(ENTRADAS.T[CODIGO],PRODUCTOS.T[[#This Row],[CODIGO]],ENTRADAS.T[CANTIDAD])</f>
        <v>0</v>
      </c>
      <c r="E5" s="4">
        <f>SUMIF(SALIDAS.T[CODIGO],PRODUCTOS.T[[#This Row],[CODIGO]],SALIDAS.T[CANTIDAD])</f>
        <v>0</v>
      </c>
      <c r="F5" s="11">
        <v>121414</v>
      </c>
      <c r="G5" s="12">
        <v>0.5</v>
      </c>
      <c r="H5" s="13">
        <f>(PRODUCTOS.T[[#This Row],[PRECIO DE COMPRA]]*PRODUCTOS.T[[#This Row],[% RENTABILIDAD]])+PRODUCTOS.T[[#This Row],[PRECIO DE COMPRA]]</f>
        <v>182121</v>
      </c>
      <c r="I5" s="14">
        <f>PRODUCTOS.T[[#This Row],[PRECIO DE VENTA]]-PRODUCTOS.T[[#This Row],[PRECIO DE COMPRA]]</f>
        <v>60707</v>
      </c>
    </row>
    <row r="6" spans="1:9" x14ac:dyDescent="0.25">
      <c r="A6" s="10">
        <v>4</v>
      </c>
      <c r="B6" s="4" t="s">
        <v>8</v>
      </c>
      <c r="C6" s="4">
        <f>PRODUCTOS.T[[#This Row],[ENTRADAS ]]-PRODUCTOS.T[[#This Row],[SALIDAS]]</f>
        <v>0</v>
      </c>
      <c r="D6" s="4">
        <f>SUMIF(ENTRADAS.T[CODIGO],PRODUCTOS.T[[#This Row],[CODIGO]],ENTRADAS.T[CANTIDAD])</f>
        <v>0</v>
      </c>
      <c r="E6" s="4">
        <f>SUMIF(SALIDAS.T[CODIGO],PRODUCTOS.T[[#This Row],[CODIGO]],SALIDAS.T[CANTIDAD])</f>
        <v>0</v>
      </c>
      <c r="F6" s="11">
        <v>121414</v>
      </c>
      <c r="G6" s="12">
        <v>0.5</v>
      </c>
      <c r="H6" s="13">
        <f>(PRODUCTOS.T[[#This Row],[PRECIO DE COMPRA]]*PRODUCTOS.T[[#This Row],[% RENTABILIDAD]])+PRODUCTOS.T[[#This Row],[PRECIO DE COMPRA]]</f>
        <v>182121</v>
      </c>
      <c r="I6" s="14">
        <f>PRODUCTOS.T[[#This Row],[PRECIO DE VENTA]]-PRODUCTOS.T[[#This Row],[PRECIO DE COMPRA]]</f>
        <v>60707</v>
      </c>
    </row>
    <row r="7" spans="1:9" x14ac:dyDescent="0.25">
      <c r="A7" s="10">
        <v>11</v>
      </c>
      <c r="B7" s="4" t="s">
        <v>8</v>
      </c>
      <c r="C7" s="4">
        <f>PRODUCTOS.T[[#This Row],[ENTRADAS ]]-PRODUCTOS.T[[#This Row],[SALIDAS]]</f>
        <v>0</v>
      </c>
      <c r="D7" s="4">
        <f>SUMIF(ENTRADAS.T[CODIGO],PRODUCTOS.T[[#This Row],[CODIGO]],ENTRADAS.T[CANTIDAD])</f>
        <v>0</v>
      </c>
      <c r="E7" s="4">
        <f>SUMIF(SALIDAS.T[CODIGO],PRODUCTOS.T[[#This Row],[CODIGO]],SALIDAS.T[CANTIDAD])</f>
        <v>0</v>
      </c>
      <c r="F7" s="11">
        <v>121414</v>
      </c>
      <c r="G7" s="12">
        <v>0.5</v>
      </c>
      <c r="H7" s="13">
        <f>(PRODUCTOS.T[[#This Row],[PRECIO DE COMPRA]]*PRODUCTOS.T[[#This Row],[% RENTABILIDAD]])+PRODUCTOS.T[[#This Row],[PRECIO DE COMPRA]]</f>
        <v>182121</v>
      </c>
      <c r="I7" s="14">
        <f>PRODUCTOS.T[[#This Row],[PRECIO DE VENTA]]-PRODUCTOS.T[[#This Row],[PRECIO DE COMPRA]]</f>
        <v>60707</v>
      </c>
    </row>
    <row r="8" spans="1:9" x14ac:dyDescent="0.25">
      <c r="A8" s="10">
        <v>64</v>
      </c>
      <c r="B8" s="4" t="s">
        <v>8</v>
      </c>
      <c r="C8" s="4">
        <f>PRODUCTOS.T[[#This Row],[ENTRADAS ]]-PRODUCTOS.T[[#This Row],[SALIDAS]]</f>
        <v>0</v>
      </c>
      <c r="D8" s="4">
        <f>SUMIF(ENTRADAS.T[CODIGO],PRODUCTOS.T[[#This Row],[CODIGO]],ENTRADAS.T[CANTIDAD])</f>
        <v>0</v>
      </c>
      <c r="E8" s="4">
        <f>SUMIF(SALIDAS.T[CODIGO],PRODUCTOS.T[[#This Row],[CODIGO]],SALIDAS.T[CANTIDAD])</f>
        <v>0</v>
      </c>
      <c r="F8" s="11">
        <v>121414</v>
      </c>
      <c r="G8" s="12">
        <v>0.5</v>
      </c>
      <c r="H8" s="13">
        <f>(PRODUCTOS.T[[#This Row],[PRECIO DE COMPRA]]*PRODUCTOS.T[[#This Row],[% RENTABILIDAD]])+PRODUCTOS.T[[#This Row],[PRECIO DE COMPRA]]</f>
        <v>182121</v>
      </c>
      <c r="I8" s="14">
        <f>PRODUCTOS.T[[#This Row],[PRECIO DE VENTA]]-PRODUCTOS.T[[#This Row],[PRECIO DE COMPRA]]</f>
        <v>60707</v>
      </c>
    </row>
    <row r="9" spans="1:9" x14ac:dyDescent="0.25">
      <c r="A9" s="10">
        <v>64</v>
      </c>
      <c r="B9" s="4" t="s">
        <v>8</v>
      </c>
      <c r="C9" s="4">
        <f>PRODUCTOS.T[[#This Row],[ENTRADAS ]]-PRODUCTOS.T[[#This Row],[SALIDAS]]</f>
        <v>0</v>
      </c>
      <c r="D9" s="4">
        <f>SUMIF(ENTRADAS.T[CODIGO],PRODUCTOS.T[[#This Row],[CODIGO]],ENTRADAS.T[CANTIDAD])</f>
        <v>0</v>
      </c>
      <c r="E9" s="4">
        <f>SUMIF(SALIDAS.T[CODIGO],PRODUCTOS.T[[#This Row],[CODIGO]],SALIDAS.T[CANTIDAD])</f>
        <v>0</v>
      </c>
      <c r="F9" s="11">
        <v>121414</v>
      </c>
      <c r="G9" s="12">
        <v>0.5</v>
      </c>
      <c r="H9" s="13">
        <f>(PRODUCTOS.T[[#This Row],[PRECIO DE COMPRA]]*PRODUCTOS.T[[#This Row],[% RENTABILIDAD]])+PRODUCTOS.T[[#This Row],[PRECIO DE COMPRA]]</f>
        <v>182121</v>
      </c>
      <c r="I9" s="14">
        <f>PRODUCTOS.T[[#This Row],[PRECIO DE VENTA]]-PRODUCTOS.T[[#This Row],[PRECIO DE COMPRA]]</f>
        <v>60707</v>
      </c>
    </row>
    <row r="10" spans="1:9" x14ac:dyDescent="0.25">
      <c r="A10" s="10">
        <v>6</v>
      </c>
      <c r="B10" s="4" t="s">
        <v>8</v>
      </c>
      <c r="C10" s="4">
        <f>PRODUCTOS.T[[#This Row],[ENTRADAS ]]-PRODUCTOS.T[[#This Row],[SALIDAS]]</f>
        <v>0</v>
      </c>
      <c r="D10" s="4">
        <f>SUMIF(ENTRADAS.T[CODIGO],PRODUCTOS.T[[#This Row],[CODIGO]],ENTRADAS.T[CANTIDAD])</f>
        <v>0</v>
      </c>
      <c r="E10" s="4">
        <f>SUMIF(SALIDAS.T[CODIGO],PRODUCTOS.T[[#This Row],[CODIGO]],SALIDAS.T[CANTIDAD])</f>
        <v>0</v>
      </c>
      <c r="F10" s="11">
        <v>121414</v>
      </c>
      <c r="G10" s="12">
        <v>0.5</v>
      </c>
      <c r="H10" s="13">
        <f>(PRODUCTOS.T[[#This Row],[PRECIO DE COMPRA]]*PRODUCTOS.T[[#This Row],[% RENTABILIDAD]])+PRODUCTOS.T[[#This Row],[PRECIO DE COMPRA]]</f>
        <v>182121</v>
      </c>
      <c r="I10" s="14">
        <f>PRODUCTOS.T[[#This Row],[PRECIO DE VENTA]]-PRODUCTOS.T[[#This Row],[PRECIO DE COMPRA]]</f>
        <v>60707</v>
      </c>
    </row>
    <row r="11" spans="1:9" x14ac:dyDescent="0.25">
      <c r="A11" s="10">
        <v>55</v>
      </c>
      <c r="B11" s="4" t="s">
        <v>8</v>
      </c>
      <c r="C11" s="4">
        <f>PRODUCTOS.T[[#This Row],[ENTRADAS ]]-PRODUCTOS.T[[#This Row],[SALIDAS]]</f>
        <v>0</v>
      </c>
      <c r="D11" s="4">
        <f>SUMIF(ENTRADAS.T[CODIGO],PRODUCTOS.T[[#This Row],[CODIGO]],ENTRADAS.T[CANTIDAD])</f>
        <v>0</v>
      </c>
      <c r="E11" s="4">
        <f>SUMIF(SALIDAS.T[CODIGO],PRODUCTOS.T[[#This Row],[CODIGO]],SALIDAS.T[CANTIDAD])</f>
        <v>0</v>
      </c>
      <c r="F11" s="11">
        <v>121414</v>
      </c>
      <c r="G11" s="12">
        <v>0.5</v>
      </c>
      <c r="H11" s="13">
        <f>(PRODUCTOS.T[[#This Row],[PRECIO DE COMPRA]]*PRODUCTOS.T[[#This Row],[% RENTABILIDAD]])+PRODUCTOS.T[[#This Row],[PRECIO DE COMPRA]]</f>
        <v>182121</v>
      </c>
      <c r="I11" s="14">
        <f>PRODUCTOS.T[[#This Row],[PRECIO DE VENTA]]-PRODUCTOS.T[[#This Row],[PRECIO DE COMPRA]]</f>
        <v>60707</v>
      </c>
    </row>
    <row r="12" spans="1:9" x14ac:dyDescent="0.25">
      <c r="A12" s="10">
        <v>45</v>
      </c>
      <c r="B12" s="4" t="s">
        <v>8</v>
      </c>
      <c r="C12" s="4">
        <f>PRODUCTOS.T[[#This Row],[ENTRADAS ]]-PRODUCTOS.T[[#This Row],[SALIDAS]]</f>
        <v>0</v>
      </c>
      <c r="D12" s="4">
        <f>SUMIF(ENTRADAS.T[CODIGO],PRODUCTOS.T[[#This Row],[CODIGO]],ENTRADAS.T[CANTIDAD])</f>
        <v>0</v>
      </c>
      <c r="E12" s="4">
        <f>SUMIF(SALIDAS.T[CODIGO],PRODUCTOS.T[[#This Row],[CODIGO]],SALIDAS.T[CANTIDAD])</f>
        <v>0</v>
      </c>
      <c r="F12" s="11">
        <v>121414</v>
      </c>
      <c r="G12" s="12">
        <v>0.5</v>
      </c>
      <c r="H12" s="13">
        <f>(PRODUCTOS.T[[#This Row],[PRECIO DE COMPRA]]*PRODUCTOS.T[[#This Row],[% RENTABILIDAD]])+PRODUCTOS.T[[#This Row],[PRECIO DE COMPRA]]</f>
        <v>182121</v>
      </c>
      <c r="I12" s="14">
        <f>PRODUCTOS.T[[#This Row],[PRECIO DE VENTA]]-PRODUCTOS.T[[#This Row],[PRECIO DE COMPRA]]</f>
        <v>60707</v>
      </c>
    </row>
    <row r="13" spans="1:9" x14ac:dyDescent="0.25">
      <c r="A13" s="10">
        <v>11</v>
      </c>
      <c r="B13" s="4" t="s">
        <v>8</v>
      </c>
      <c r="C13" s="4">
        <f>PRODUCTOS.T[[#This Row],[ENTRADAS ]]-PRODUCTOS.T[[#This Row],[SALIDAS]]</f>
        <v>0</v>
      </c>
      <c r="D13" s="4">
        <f>SUMIF(ENTRADAS.T[CODIGO],PRODUCTOS.T[[#This Row],[CODIGO]],ENTRADAS.T[CANTIDAD])</f>
        <v>0</v>
      </c>
      <c r="E13" s="4">
        <f>SUMIF(SALIDAS.T[CODIGO],PRODUCTOS.T[[#This Row],[CODIGO]],SALIDAS.T[CANTIDAD])</f>
        <v>0</v>
      </c>
      <c r="F13" s="11">
        <v>121414</v>
      </c>
      <c r="G13" s="12">
        <v>0.5</v>
      </c>
      <c r="H13" s="13">
        <f>(PRODUCTOS.T[[#This Row],[PRECIO DE COMPRA]]*PRODUCTOS.T[[#This Row],[% RENTABILIDAD]])+PRODUCTOS.T[[#This Row],[PRECIO DE COMPRA]]</f>
        <v>182121</v>
      </c>
      <c r="I13" s="14">
        <f>PRODUCTOS.T[[#This Row],[PRECIO DE VENTA]]-PRODUCTOS.T[[#This Row],[PRECIO DE COMPRA]]</f>
        <v>60707</v>
      </c>
    </row>
    <row r="14" spans="1:9" x14ac:dyDescent="0.25">
      <c r="A14" s="10">
        <v>11</v>
      </c>
      <c r="B14" s="4" t="s">
        <v>8</v>
      </c>
      <c r="C14" s="4">
        <f>PRODUCTOS.T[[#This Row],[ENTRADAS ]]-PRODUCTOS.T[[#This Row],[SALIDAS]]</f>
        <v>0</v>
      </c>
      <c r="D14" s="4">
        <f>SUMIF(ENTRADAS.T[CODIGO],PRODUCTOS.T[[#This Row],[CODIGO]],ENTRADAS.T[CANTIDAD])</f>
        <v>0</v>
      </c>
      <c r="E14" s="4">
        <f>SUMIF(SALIDAS.T[CODIGO],PRODUCTOS.T[[#This Row],[CODIGO]],SALIDAS.T[CANTIDAD])</f>
        <v>0</v>
      </c>
      <c r="F14" s="11">
        <v>121414</v>
      </c>
      <c r="G14" s="12">
        <v>0.5</v>
      </c>
      <c r="H14" s="13">
        <f>(PRODUCTOS.T[[#This Row],[PRECIO DE COMPRA]]*PRODUCTOS.T[[#This Row],[% RENTABILIDAD]])+PRODUCTOS.T[[#This Row],[PRECIO DE COMPRA]]</f>
        <v>182121</v>
      </c>
      <c r="I14" s="14">
        <f>PRODUCTOS.T[[#This Row],[PRECIO DE VENTA]]-PRODUCTOS.T[[#This Row],[PRECIO DE COMPRA]]</f>
        <v>60707</v>
      </c>
    </row>
    <row r="15" spans="1:9" x14ac:dyDescent="0.25">
      <c r="A15" s="10">
        <v>84</v>
      </c>
      <c r="B15" s="4" t="s">
        <v>8</v>
      </c>
      <c r="C15" s="4">
        <f>PRODUCTOS.T[[#This Row],[ENTRADAS ]]-PRODUCTOS.T[[#This Row],[SALIDAS]]</f>
        <v>0</v>
      </c>
      <c r="D15" s="4">
        <f>SUMIF(ENTRADAS.T[CODIGO],PRODUCTOS.T[[#This Row],[CODIGO]],ENTRADAS.T[CANTIDAD])</f>
        <v>0</v>
      </c>
      <c r="E15" s="4">
        <f>SUMIF(SALIDAS.T[CODIGO],PRODUCTOS.T[[#This Row],[CODIGO]],SALIDAS.T[CANTIDAD])</f>
        <v>0</v>
      </c>
      <c r="F15" s="11">
        <v>121414</v>
      </c>
      <c r="G15" s="12">
        <v>0.5</v>
      </c>
      <c r="H15" s="13">
        <f>(PRODUCTOS.T[[#This Row],[PRECIO DE COMPRA]]*PRODUCTOS.T[[#This Row],[% RENTABILIDAD]])+PRODUCTOS.T[[#This Row],[PRECIO DE COMPRA]]</f>
        <v>182121</v>
      </c>
      <c r="I15" s="14">
        <f>PRODUCTOS.T[[#This Row],[PRECIO DE VENTA]]-PRODUCTOS.T[[#This Row],[PRECIO DE COMPRA]]</f>
        <v>60707</v>
      </c>
    </row>
    <row r="16" spans="1:9" x14ac:dyDescent="0.25">
      <c r="A16" s="10">
        <v>16</v>
      </c>
      <c r="B16" s="4" t="s">
        <v>8</v>
      </c>
      <c r="C16" s="4">
        <f>PRODUCTOS.T[[#This Row],[ENTRADAS ]]-PRODUCTOS.T[[#This Row],[SALIDAS]]</f>
        <v>98</v>
      </c>
      <c r="D16" s="4">
        <f>SUMIF(ENTRADAS.T[CODIGO],PRODUCTOS.T[[#This Row],[CODIGO]],ENTRADAS.T[CANTIDAD])</f>
        <v>100</v>
      </c>
      <c r="E16" s="4">
        <f>SUMIF(SALIDAS.T[CODIGO],PRODUCTOS.T[[#This Row],[CODIGO]],SALIDAS.T[CANTIDAD])</f>
        <v>2</v>
      </c>
      <c r="F16" s="11">
        <v>41</v>
      </c>
      <c r="G16" s="12">
        <v>0.5</v>
      </c>
      <c r="H16" s="13">
        <f>(PRODUCTOS.T[[#This Row],[PRECIO DE COMPRA]]*PRODUCTOS.T[[#This Row],[% RENTABILIDAD]])+PRODUCTOS.T[[#This Row],[PRECIO DE COMPRA]]</f>
        <v>61.5</v>
      </c>
      <c r="I16" s="14">
        <f>PRODUCTOS.T[[#This Row],[PRECIO DE VENTA]]-PRODUCTOS.T[[#This Row],[PRECIO DE COMPRA]]</f>
        <v>20.5</v>
      </c>
    </row>
    <row r="17" spans="1:9" x14ac:dyDescent="0.25">
      <c r="A17" s="15">
        <v>9449</v>
      </c>
      <c r="B17" s="16" t="s">
        <v>10</v>
      </c>
      <c r="C17" s="4">
        <f>PRODUCTOS.T[[#This Row],[ENTRADAS ]]-PRODUCTOS.T[[#This Row],[SALIDAS]]</f>
        <v>0</v>
      </c>
      <c r="D17" s="4">
        <f>SUMIF(ENTRADAS.T[CODIGO],PRODUCTOS.T[[#This Row],[CODIGO]],ENTRADAS.T[CANTIDAD])</f>
        <v>0</v>
      </c>
      <c r="E17" s="4">
        <f>SUMIF(SALIDAS.T[CODIGO],PRODUCTOS.T[[#This Row],[CODIGO]],SALIDAS.T[CANTIDAD])</f>
        <v>0</v>
      </c>
      <c r="F17" s="17">
        <v>50</v>
      </c>
      <c r="G17" s="18">
        <v>5</v>
      </c>
      <c r="H17" s="13">
        <f>(PRODUCTOS.T[[#This Row],[PRECIO DE COMPRA]]*PRODUCTOS.T[[#This Row],[% RENTABILIDAD]])+PRODUCTOS.T[[#This Row],[PRECIO DE COMPRA]]</f>
        <v>300</v>
      </c>
      <c r="I17" s="19">
        <f>PRODUCTOS.T[[#This Row],[PRECIO DE VENTA]]-PRODUCTOS.T[[#This Row],[PRECIO DE COMPRA]]</f>
        <v>250</v>
      </c>
    </row>
    <row r="18" spans="1:9" x14ac:dyDescent="0.25">
      <c r="A18" s="15" t="s">
        <v>43</v>
      </c>
      <c r="B18" s="16"/>
      <c r="C18" s="16">
        <f>PRODUCTOS.T[[#This Row],[ENTRADAS ]]-PRODUCTOS.T[[#This Row],[SALIDAS]]</f>
        <v>0</v>
      </c>
      <c r="D18" s="16">
        <f>SUMIF(ENTRADAS.T[CODIGO],PRODUCTOS.T[[#This Row],[CODIGO]],ENTRADAS.T[CANTIDAD])</f>
        <v>0</v>
      </c>
      <c r="E18" s="16">
        <f>SUMIF(SALIDAS.T[CODIGO],PRODUCTOS.T[[#This Row],[CODIGO]],SALIDAS.T[CANTIDAD])</f>
        <v>0</v>
      </c>
      <c r="F18" s="17"/>
      <c r="G18" s="18"/>
      <c r="H18" s="20">
        <f>(PRODUCTOS.T[[#This Row],[PRECIO DE COMPRA]]*PRODUCTOS.T[[#This Row],[% RENTABILIDAD]])+PRODUCTOS.T[[#This Row],[PRECIO DE COMPRA]]</f>
        <v>0</v>
      </c>
      <c r="I18" s="19">
        <f>PRODUCTOS.T[[#This Row],[PRECIO DE VENTA]]-PRODUCTOS.T[[#This Row],[PRECIO DE COMPRA]]</f>
        <v>0</v>
      </c>
    </row>
  </sheetData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85FE1-9C7B-4538-95D0-8354ED93C650}">
  <sheetPr codeName="Hoja3"/>
  <dimension ref="A1:D6"/>
  <sheetViews>
    <sheetView workbookViewId="0"/>
  </sheetViews>
  <sheetFormatPr baseColWidth="10" defaultRowHeight="15" x14ac:dyDescent="0.25"/>
  <cols>
    <col min="1" max="1" width="13" style="9" customWidth="1"/>
    <col min="2" max="2" width="13.42578125" style="9" customWidth="1"/>
    <col min="3" max="3" width="19.140625" style="9" customWidth="1"/>
    <col min="4" max="4" width="16.42578125" style="9" customWidth="1"/>
    <col min="5" max="16384" width="11.42578125" style="9"/>
  </cols>
  <sheetData>
    <row r="1" spans="1:4" x14ac:dyDescent="0.25">
      <c r="A1" s="5" t="s">
        <v>11</v>
      </c>
      <c r="B1" s="6" t="s">
        <v>0</v>
      </c>
      <c r="C1" s="6" t="s">
        <v>1</v>
      </c>
      <c r="D1" s="8" t="s">
        <v>12</v>
      </c>
    </row>
    <row r="2" spans="1:4" x14ac:dyDescent="0.25">
      <c r="A2" s="23">
        <v>44841</v>
      </c>
      <c r="B2" s="10" t="s">
        <v>40</v>
      </c>
      <c r="C2" s="16" t="str">
        <f xml:space="preserve"> IFERROR(VLOOKUP(ENTRADAS.T[[#This Row],[CODIGO]],PRODUCTOS.T[],2,FALSE )," ")</f>
        <v>Moño con agujeta Negro</v>
      </c>
      <c r="D2" s="21">
        <v>10</v>
      </c>
    </row>
    <row r="3" spans="1:4" x14ac:dyDescent="0.25">
      <c r="A3" s="23">
        <v>44851</v>
      </c>
      <c r="B3" s="16">
        <v>2</v>
      </c>
      <c r="C3" s="16" t="str">
        <f xml:space="preserve"> IFERROR(VLOOKUP(ENTRADAS.T[[#This Row],[CODIGO]],PRODUCTOS.T[],2,FALSE )," ")</f>
        <v xml:space="preserve"> </v>
      </c>
      <c r="D3" s="21">
        <v>100</v>
      </c>
    </row>
    <row r="4" spans="1:4" x14ac:dyDescent="0.25">
      <c r="A4" s="15" t="s">
        <v>18</v>
      </c>
      <c r="B4" s="16">
        <v>16</v>
      </c>
      <c r="C4" s="16" t="str">
        <f xml:space="preserve"> IFERROR(VLOOKUP(ENTRADAS.T[[#This Row],[CODIGO]],PRODUCTOS.T[],2,FALSE )," ")</f>
        <v>Zapato</v>
      </c>
      <c r="D4" s="21">
        <v>100</v>
      </c>
    </row>
    <row r="5" spans="1:4" x14ac:dyDescent="0.25">
      <c r="A5" s="15" t="s">
        <v>15</v>
      </c>
      <c r="B5" s="16">
        <v>1</v>
      </c>
      <c r="C5" s="16" t="str">
        <f xml:space="preserve"> IFERROR(VLOOKUP(ENTRADAS.T[[#This Row],[CODIGO]],PRODUCTOS.T[],2,FALSE )," ")</f>
        <v xml:space="preserve"> </v>
      </c>
      <c r="D5" s="21">
        <v>50</v>
      </c>
    </row>
    <row r="6" spans="1:4" x14ac:dyDescent="0.25">
      <c r="A6" s="23">
        <v>44842</v>
      </c>
      <c r="B6" s="16">
        <v>3</v>
      </c>
      <c r="C6" s="16" t="str">
        <f xml:space="preserve"> IFERROR(VLOOKUP(ENTRADAS.T[[#This Row],[CODIGO]],PRODUCTOS.T[],2,FALSE )," ")</f>
        <v xml:space="preserve"> </v>
      </c>
      <c r="D6" s="21">
        <v>20</v>
      </c>
    </row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621-832C-436A-B4C5-DD162A33DE33}">
  <sheetPr codeName="Hoja6"/>
  <dimension ref="A1:I11"/>
  <sheetViews>
    <sheetView workbookViewId="0"/>
  </sheetViews>
  <sheetFormatPr baseColWidth="10" defaultRowHeight="15" x14ac:dyDescent="0.25"/>
  <cols>
    <col min="1" max="1" width="11.28515625" style="9" bestFit="1" customWidth="1"/>
    <col min="2" max="2" width="12.85546875" style="9" bestFit="1" customWidth="1"/>
    <col min="3" max="3" width="22.85546875" style="9" bestFit="1" customWidth="1"/>
    <col min="4" max="4" width="14.85546875" style="9" bestFit="1" customWidth="1"/>
    <col min="5" max="5" width="21.7109375" style="9" bestFit="1" customWidth="1"/>
    <col min="6" max="6" width="23.28515625" style="9" bestFit="1" customWidth="1"/>
    <col min="7" max="7" width="20.28515625" style="9" bestFit="1" customWidth="1"/>
    <col min="8" max="8" width="15.42578125" style="9" bestFit="1" customWidth="1"/>
    <col min="9" max="9" width="22.140625" style="9" bestFit="1" customWidth="1"/>
    <col min="10" max="16384" width="11.42578125" style="9"/>
  </cols>
  <sheetData>
    <row r="1" spans="1:9" x14ac:dyDescent="0.25">
      <c r="A1" s="5" t="s">
        <v>11</v>
      </c>
      <c r="B1" s="6" t="s">
        <v>0</v>
      </c>
      <c r="C1" s="6" t="s">
        <v>1</v>
      </c>
      <c r="D1" s="6" t="s">
        <v>12</v>
      </c>
      <c r="E1" s="6" t="s">
        <v>13</v>
      </c>
      <c r="F1" s="6" t="s">
        <v>5</v>
      </c>
      <c r="G1" s="6" t="s">
        <v>14</v>
      </c>
      <c r="H1" s="8" t="s">
        <v>7</v>
      </c>
      <c r="I1" s="6" t="s">
        <v>47</v>
      </c>
    </row>
    <row r="2" spans="1:9" x14ac:dyDescent="0.25">
      <c r="A2" s="25">
        <v>44842</v>
      </c>
      <c r="B2" s="4" t="s">
        <v>39</v>
      </c>
      <c r="C2" s="37" t="str">
        <f xml:space="preserve"> IFERROR(VLOOKUP(SALIDAS.T[[#This Row],[CODIGO]],PRODUCTOS.T[],2,FALSE )," ")</f>
        <v>Moño con agujeta Azul</v>
      </c>
      <c r="D2" s="4">
        <v>2</v>
      </c>
      <c r="E2" s="38">
        <f>IFERROR(VLOOKUP(SALIDAS.T[[#This Row],[CODIGO]],PRODUCTOS.T[],8,FALSE)," ")</f>
        <v>18</v>
      </c>
      <c r="F2" s="38">
        <f>IFERROR(VLOOKUP(SALIDAS.T[[#This Row],[CODIGO]],PRODUCTOS.T[],6,FALSE)," ")</f>
        <v>12</v>
      </c>
      <c r="G2" s="39">
        <f>SALIDAS.T[[#This Row],[CANTIDAD]]*SALIDAS.T[[#This Row],[PRECIO DE VENTA ]]</f>
        <v>36</v>
      </c>
      <c r="H2" s="40">
        <f>SALIDAS.T[[#This Row],[TOTAL DE VENTA]]-(SALIDAS.T[[#This Row],[CANTIDAD]]*SALIDAS.T[[#This Row],[PRECIO DE COMPRA]])</f>
        <v>12</v>
      </c>
      <c r="I2" s="1" t="s">
        <v>62</v>
      </c>
    </row>
    <row r="3" spans="1:9" x14ac:dyDescent="0.25">
      <c r="A3" s="25">
        <v>44842</v>
      </c>
      <c r="B3" s="4" t="s">
        <v>40</v>
      </c>
      <c r="C3" s="37" t="str">
        <f xml:space="preserve"> IFERROR(VLOOKUP(SALIDAS.T[[#This Row],[CODIGO]],PRODUCTOS.T[],2,FALSE )," ")</f>
        <v>Moño con agujeta Negro</v>
      </c>
      <c r="D3" s="4">
        <v>5</v>
      </c>
      <c r="E3" s="38">
        <f>IFERROR(VLOOKUP(SALIDAS.T[[#This Row],[CODIGO]],PRODUCTOS.T[],8,FALSE)," ")</f>
        <v>5.4</v>
      </c>
      <c r="F3" s="38">
        <f>IFERROR(VLOOKUP(SALIDAS.T[[#This Row],[CODIGO]],PRODUCTOS.T[],6,FALSE)," ")</f>
        <v>4</v>
      </c>
      <c r="G3" s="39">
        <f>SALIDAS.T[[#This Row],[CANTIDAD]]*SALIDAS.T[[#This Row],[PRECIO DE VENTA ]]</f>
        <v>27</v>
      </c>
      <c r="H3" s="40">
        <f>SALIDAS.T[[#This Row],[TOTAL DE VENTA]]-(SALIDAS.T[[#This Row],[CANTIDAD]]*SALIDAS.T[[#This Row],[PRECIO DE COMPRA]])</f>
        <v>7</v>
      </c>
      <c r="I3" s="1" t="s">
        <v>62</v>
      </c>
    </row>
    <row r="4" spans="1:9" x14ac:dyDescent="0.25">
      <c r="A4" s="25">
        <v>44842</v>
      </c>
      <c r="B4" s="4" t="s">
        <v>39</v>
      </c>
      <c r="C4" s="37" t="str">
        <f xml:space="preserve"> IFERROR(VLOOKUP(SALIDAS.T[[#This Row],[CODIGO]],PRODUCTOS.T[],2,FALSE )," ")</f>
        <v>Moño con agujeta Azul</v>
      </c>
      <c r="D4" s="4">
        <v>4</v>
      </c>
      <c r="E4" s="38">
        <f>IFERROR(VLOOKUP(SALIDAS.T[[#This Row],[CODIGO]],PRODUCTOS.T[],8,FALSE)," ")</f>
        <v>18</v>
      </c>
      <c r="F4" s="38">
        <f>IFERROR(VLOOKUP(SALIDAS.T[[#This Row],[CODIGO]],PRODUCTOS.T[],6,FALSE)," ")</f>
        <v>12</v>
      </c>
      <c r="G4" s="39">
        <f>SALIDAS.T[[#This Row],[CANTIDAD]]*SALIDAS.T[[#This Row],[PRECIO DE VENTA ]]</f>
        <v>72</v>
      </c>
      <c r="H4" s="40">
        <f>SALIDAS.T[[#This Row],[TOTAL DE VENTA]]-(SALIDAS.T[[#This Row],[CANTIDAD]]*SALIDAS.T[[#This Row],[PRECIO DE COMPRA]])</f>
        <v>24</v>
      </c>
      <c r="I4" s="1" t="s">
        <v>46</v>
      </c>
    </row>
    <row r="5" spans="1:9" x14ac:dyDescent="0.25">
      <c r="A5" s="25">
        <v>44842</v>
      </c>
      <c r="B5" s="4" t="s">
        <v>38</v>
      </c>
      <c r="C5" s="37" t="str">
        <f xml:space="preserve"> IFERROR(VLOOKUP(SALIDAS.T[[#This Row],[CODIGO]],PRODUCTOS.T[],2,FALSE )," ")</f>
        <v>Tabaco con moño</v>
      </c>
      <c r="D5" s="4">
        <v>5</v>
      </c>
      <c r="E5" s="38">
        <f>IFERROR(VLOOKUP(SALIDAS.T[[#This Row],[CODIGO]],PRODUCTOS.T[],8,FALSE)," ")</f>
        <v>3</v>
      </c>
      <c r="F5" s="38">
        <f>IFERROR(VLOOKUP(SALIDAS.T[[#This Row],[CODIGO]],PRODUCTOS.T[],6,FALSE)," ")</f>
        <v>2</v>
      </c>
      <c r="G5" s="39">
        <f>SALIDAS.T[[#This Row],[CANTIDAD]]*SALIDAS.T[[#This Row],[PRECIO DE VENTA ]]</f>
        <v>15</v>
      </c>
      <c r="H5" s="40">
        <f>SALIDAS.T[[#This Row],[TOTAL DE VENTA]]-(SALIDAS.T[[#This Row],[CANTIDAD]]*SALIDAS.T[[#This Row],[PRECIO DE COMPRA]])</f>
        <v>5</v>
      </c>
      <c r="I5" s="1" t="s">
        <v>46</v>
      </c>
    </row>
    <row r="6" spans="1:9" x14ac:dyDescent="0.25">
      <c r="A6" s="25">
        <v>44842</v>
      </c>
      <c r="B6" s="4" t="s">
        <v>40</v>
      </c>
      <c r="C6" s="37" t="str">
        <f xml:space="preserve"> IFERROR(VLOOKUP(SALIDAS.T[[#This Row],[CODIGO]],PRODUCTOS.T[],2,FALSE )," ")</f>
        <v>Moño con agujeta Negro</v>
      </c>
      <c r="D6" s="4">
        <v>2</v>
      </c>
      <c r="E6" s="38">
        <f>IFERROR(VLOOKUP(SALIDAS.T[[#This Row],[CODIGO]],PRODUCTOS.T[],8,FALSE)," ")</f>
        <v>5.4</v>
      </c>
      <c r="F6" s="38">
        <f>IFERROR(VLOOKUP(SALIDAS.T[[#This Row],[CODIGO]],PRODUCTOS.T[],6,FALSE)," ")</f>
        <v>4</v>
      </c>
      <c r="G6" s="39">
        <f>SALIDAS.T[[#This Row],[CANTIDAD]]*SALIDAS.T[[#This Row],[PRECIO DE VENTA ]]</f>
        <v>10.8</v>
      </c>
      <c r="H6" s="40">
        <f>SALIDAS.T[[#This Row],[TOTAL DE VENTA]]-(SALIDAS.T[[#This Row],[CANTIDAD]]*SALIDAS.T[[#This Row],[PRECIO DE COMPRA]])</f>
        <v>2.8000000000000007</v>
      </c>
      <c r="I6" s="1" t="s">
        <v>46</v>
      </c>
    </row>
    <row r="7" spans="1:9" x14ac:dyDescent="0.25">
      <c r="A7" s="25">
        <v>44842</v>
      </c>
      <c r="B7" s="4" t="s">
        <v>39</v>
      </c>
      <c r="C7" s="37" t="str">
        <f xml:space="preserve"> IFERROR(VLOOKUP(SALIDAS.T[[#This Row],[CODIGO]],PRODUCTOS.T[],2,FALSE )," ")</f>
        <v>Moño con agujeta Azul</v>
      </c>
      <c r="D7" s="4">
        <v>25</v>
      </c>
      <c r="E7" s="38">
        <f>IFERROR(VLOOKUP(SALIDAS.T[[#This Row],[CODIGO]],PRODUCTOS.T[],8,FALSE)," ")</f>
        <v>18</v>
      </c>
      <c r="F7" s="38">
        <f>IFERROR(VLOOKUP(SALIDAS.T[[#This Row],[CODIGO]],PRODUCTOS.T[],6,FALSE)," ")</f>
        <v>12</v>
      </c>
      <c r="G7" s="39">
        <f>SALIDAS.T[[#This Row],[CANTIDAD]]*SALIDAS.T[[#This Row],[PRECIO DE VENTA ]]</f>
        <v>450</v>
      </c>
      <c r="H7" s="40">
        <f>SALIDAS.T[[#This Row],[TOTAL DE VENTA]]-(SALIDAS.T[[#This Row],[CANTIDAD]]*SALIDAS.T[[#This Row],[PRECIO DE COMPRA]])</f>
        <v>150</v>
      </c>
      <c r="I7" s="1" t="s">
        <v>46</v>
      </c>
    </row>
    <row r="8" spans="1:9" x14ac:dyDescent="0.25">
      <c r="A8" s="25">
        <v>44842</v>
      </c>
      <c r="B8" s="4" t="s">
        <v>40</v>
      </c>
      <c r="C8" s="37" t="str">
        <f xml:space="preserve"> IFERROR(VLOOKUP(SALIDAS.T[[#This Row],[CODIGO]],PRODUCTOS.T[],2,FALSE )," ")</f>
        <v>Moño con agujeta Negro</v>
      </c>
      <c r="D8" s="4">
        <v>10</v>
      </c>
      <c r="E8" s="38">
        <f>IFERROR(VLOOKUP(SALIDAS.T[[#This Row],[CODIGO]],PRODUCTOS.T[],8,FALSE)," ")</f>
        <v>5.4</v>
      </c>
      <c r="F8" s="38">
        <f>IFERROR(VLOOKUP(SALIDAS.T[[#This Row],[CODIGO]],PRODUCTOS.T[],6,FALSE)," ")</f>
        <v>4</v>
      </c>
      <c r="G8" s="39">
        <f>SALIDAS.T[[#This Row],[CANTIDAD]]*SALIDAS.T[[#This Row],[PRECIO DE VENTA ]]</f>
        <v>54</v>
      </c>
      <c r="H8" s="40">
        <f>SALIDAS.T[[#This Row],[TOTAL DE VENTA]]-(SALIDAS.T[[#This Row],[CANTIDAD]]*SALIDAS.T[[#This Row],[PRECIO DE COMPRA]])</f>
        <v>14</v>
      </c>
      <c r="I8" s="1" t="s">
        <v>46</v>
      </c>
    </row>
    <row r="9" spans="1:9" x14ac:dyDescent="0.25">
      <c r="A9" s="25">
        <v>44842</v>
      </c>
      <c r="B9" s="4" t="s">
        <v>38</v>
      </c>
      <c r="C9" s="37" t="str">
        <f xml:space="preserve"> IFERROR(VLOOKUP(SALIDAS.T[[#This Row],[CODIGO]],PRODUCTOS.T[],2,FALSE )," ")</f>
        <v>Tabaco con moño</v>
      </c>
      <c r="D9" s="4">
        <v>1</v>
      </c>
      <c r="E9" s="38">
        <f>IFERROR(VLOOKUP(SALIDAS.T[[#This Row],[CODIGO]],PRODUCTOS.T[],8,FALSE)," ")</f>
        <v>3</v>
      </c>
      <c r="F9" s="38">
        <f>IFERROR(VLOOKUP(SALIDAS.T[[#This Row],[CODIGO]],PRODUCTOS.T[],6,FALSE)," ")</f>
        <v>2</v>
      </c>
      <c r="G9" s="39">
        <f>SALIDAS.T[[#This Row],[CANTIDAD]]*SALIDAS.T[[#This Row],[PRECIO DE VENTA ]]</f>
        <v>3</v>
      </c>
      <c r="H9" s="40">
        <f>SALIDAS.T[[#This Row],[TOTAL DE VENTA]]-(SALIDAS.T[[#This Row],[CANTIDAD]]*SALIDAS.T[[#This Row],[PRECIO DE COMPRA]])</f>
        <v>1</v>
      </c>
      <c r="I9" s="1" t="s">
        <v>46</v>
      </c>
    </row>
    <row r="10" spans="1:9" x14ac:dyDescent="0.25">
      <c r="A10" s="25">
        <v>44853</v>
      </c>
      <c r="B10" s="4">
        <v>16</v>
      </c>
      <c r="C10" s="37" t="str">
        <f xml:space="preserve"> IFERROR(VLOOKUP(SALIDAS.T[[#This Row],[CODIGO]],PRODUCTOS.T[],2,FALSE )," ")</f>
        <v>Zapato</v>
      </c>
      <c r="D10" s="4">
        <v>2</v>
      </c>
      <c r="E10" s="38">
        <f>IFERROR(VLOOKUP(SALIDAS.T[[#This Row],[CODIGO]],PRODUCTOS.T[],8,FALSE)," ")</f>
        <v>61.5</v>
      </c>
      <c r="F10" s="38">
        <f>IFERROR(VLOOKUP(SALIDAS.T[[#This Row],[CODIGO]],PRODUCTOS.T[],6,FALSE)," ")</f>
        <v>41</v>
      </c>
      <c r="G10" s="39">
        <f>SALIDAS.T[[#This Row],[CANTIDAD]]*SALIDAS.T[[#This Row],[PRECIO DE VENTA ]]</f>
        <v>123</v>
      </c>
      <c r="H10" s="40">
        <f>SALIDAS.T[[#This Row],[TOTAL DE VENTA]]-(SALIDAS.T[[#This Row],[CANTIDAD]]*SALIDAS.T[[#This Row],[PRECIO DE COMPRA]])</f>
        <v>41</v>
      </c>
      <c r="I10" s="1" t="s">
        <v>46</v>
      </c>
    </row>
    <row r="11" spans="1:9" x14ac:dyDescent="0.25">
      <c r="A11" s="15" t="s">
        <v>61</v>
      </c>
      <c r="B11" s="16"/>
      <c r="C11" s="16"/>
      <c r="D11" s="16"/>
      <c r="E11" s="20">
        <f>SUBTOTAL(109,SALIDAS.T[[PRECIO DE VENTA ]])</f>
        <v>137.69999999999999</v>
      </c>
      <c r="F11" s="20">
        <f>SUBTOTAL(109,SALIDAS.T[PRECIO DE COMPRA])</f>
        <v>93</v>
      </c>
      <c r="G11" s="20">
        <f>SUBTOTAL(109,SALIDAS.T[TOTAL DE VENTA])</f>
        <v>790.8</v>
      </c>
      <c r="H11" s="24">
        <f>SUBTOTAL(109,SALIDAS.T[GANANCIA])</f>
        <v>256.8</v>
      </c>
      <c r="I11" s="42"/>
    </row>
  </sheetData>
  <dataValidations count="2">
    <dataValidation type="list" allowBlank="1" showInputMessage="1" showErrorMessage="1" sqref="I4:I6" xr:uid="{4F18B3E6-AA6E-45B2-8FDE-1491C41BBAC9}">
      <formula1>$J$12:$J$14</formula1>
    </dataValidation>
    <dataValidation type="list" allowBlank="1" showInputMessage="1" showErrorMessage="1" sqref="I2:I3" xr:uid="{111C59A1-13E4-4417-9389-3DC445190087}">
      <formula1>$J$9:$J$11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06AA8-0834-47B0-8241-726AAC87FCB1}">
  <sheetPr codeName="Hoja4"/>
  <dimension ref="A1:D4"/>
  <sheetViews>
    <sheetView workbookViewId="0"/>
  </sheetViews>
  <sheetFormatPr baseColWidth="10" defaultRowHeight="15" x14ac:dyDescent="0.25"/>
  <cols>
    <col min="1" max="1" width="14.5703125" style="9" customWidth="1"/>
    <col min="2" max="2" width="30.5703125" style="9" customWidth="1"/>
    <col min="3" max="3" width="22.7109375" style="9" customWidth="1"/>
    <col min="4" max="4" width="12.28515625" style="9" customWidth="1"/>
    <col min="5" max="16384" width="11.42578125" style="9"/>
  </cols>
  <sheetData>
    <row r="1" spans="1:4" x14ac:dyDescent="0.25">
      <c r="A1" s="5" t="s">
        <v>21</v>
      </c>
      <c r="B1" s="6" t="s">
        <v>17</v>
      </c>
      <c r="C1" s="6" t="s">
        <v>16</v>
      </c>
      <c r="D1" s="8" t="s">
        <v>25</v>
      </c>
    </row>
    <row r="2" spans="1:4" x14ac:dyDescent="0.25">
      <c r="A2" s="15">
        <v>10101</v>
      </c>
      <c r="B2" s="16" t="s">
        <v>19</v>
      </c>
      <c r="C2" s="16" t="s">
        <v>20</v>
      </c>
      <c r="D2" s="21">
        <v>5554291634</v>
      </c>
    </row>
    <row r="3" spans="1:4" x14ac:dyDescent="0.25">
      <c r="A3" s="15">
        <v>10102</v>
      </c>
      <c r="B3" s="16" t="s">
        <v>35</v>
      </c>
      <c r="C3" s="16" t="s">
        <v>36</v>
      </c>
      <c r="D3" s="21">
        <v>5558211494</v>
      </c>
    </row>
    <row r="4" spans="1:4" x14ac:dyDescent="0.25">
      <c r="A4" s="15">
        <v>10103</v>
      </c>
      <c r="B4" s="16" t="s">
        <v>44</v>
      </c>
      <c r="C4" s="16" t="s">
        <v>45</v>
      </c>
      <c r="D4" s="21">
        <v>545497497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447C-672B-4E4D-88AA-CE3225EEA49D}">
  <sheetPr codeName="Hoja5"/>
  <dimension ref="A1:J17"/>
  <sheetViews>
    <sheetView workbookViewId="0">
      <selection activeCell="C4" sqref="C4:D4"/>
    </sheetView>
  </sheetViews>
  <sheetFormatPr baseColWidth="10" defaultRowHeight="15" x14ac:dyDescent="0.25"/>
  <cols>
    <col min="1" max="1" width="12.28515625" style="9" customWidth="1"/>
    <col min="2" max="2" width="17.85546875" style="9" customWidth="1"/>
    <col min="3" max="3" width="12.7109375" style="9" customWidth="1"/>
    <col min="4" max="4" width="12.5703125" style="9" bestFit="1" customWidth="1"/>
    <col min="5" max="5" width="12.5703125" style="9" customWidth="1"/>
    <col min="6" max="16384" width="11.42578125" style="9"/>
  </cols>
  <sheetData>
    <row r="1" spans="1:10" x14ac:dyDescent="0.25">
      <c r="A1" s="9" t="s">
        <v>22</v>
      </c>
      <c r="B1" s="9">
        <v>2</v>
      </c>
    </row>
    <row r="2" spans="1:10" x14ac:dyDescent="0.25">
      <c r="A2" s="9" t="s">
        <v>11</v>
      </c>
      <c r="B2" s="25">
        <v>44842</v>
      </c>
    </row>
    <row r="3" spans="1:10" x14ac:dyDescent="0.25">
      <c r="A3" s="26" t="s">
        <v>23</v>
      </c>
      <c r="B3" s="26"/>
      <c r="C3" s="26"/>
      <c r="D3" s="26"/>
      <c r="E3" s="26"/>
      <c r="F3" s="26"/>
      <c r="G3" s="26"/>
    </row>
    <row r="4" spans="1:10" x14ac:dyDescent="0.25">
      <c r="A4" s="30" t="s">
        <v>24</v>
      </c>
      <c r="B4" s="30"/>
      <c r="C4" s="31">
        <v>10103</v>
      </c>
      <c r="D4" s="31"/>
      <c r="E4" s="3" t="s">
        <v>16</v>
      </c>
      <c r="F4" s="31" t="str">
        <f>IFERROR(VLOOKUP(C4,CLIENTES.T[],3,FALSE), " ")</f>
        <v>IXTLAHUCAN</v>
      </c>
      <c r="G4" s="31"/>
    </row>
    <row r="5" spans="1:10" x14ac:dyDescent="0.25">
      <c r="A5" s="30" t="s">
        <v>17</v>
      </c>
      <c r="B5" s="30"/>
      <c r="C5" s="31" t="str">
        <f>IFERROR(VLOOKUP(C4,CLIENTES.T[],2,FALSE), " ")</f>
        <v>DIANA</v>
      </c>
      <c r="D5" s="31"/>
      <c r="E5" s="3" t="s">
        <v>25</v>
      </c>
      <c r="F5" s="31">
        <f>IFERROR(VLOOKUP(C4,CLIENTES.T[],4,FALSE), " ")</f>
        <v>545497497</v>
      </c>
      <c r="G5" s="31"/>
    </row>
    <row r="6" spans="1:10" x14ac:dyDescent="0.25">
      <c r="A6" s="26" t="s">
        <v>26</v>
      </c>
      <c r="B6" s="26"/>
      <c r="C6" s="26"/>
      <c r="D6" s="26"/>
      <c r="E6" s="26"/>
      <c r="F6" s="26"/>
      <c r="G6" s="26"/>
    </row>
    <row r="7" spans="1:10" x14ac:dyDescent="0.25">
      <c r="A7" s="27" t="s">
        <v>27</v>
      </c>
      <c r="B7" s="28"/>
      <c r="C7" s="28"/>
      <c r="D7" s="28"/>
      <c r="E7" s="28"/>
      <c r="F7" s="29"/>
      <c r="G7" s="1" t="s">
        <v>62</v>
      </c>
    </row>
    <row r="8" spans="1:10" x14ac:dyDescent="0.25">
      <c r="A8" s="3" t="s">
        <v>0</v>
      </c>
      <c r="B8" s="30" t="s">
        <v>1</v>
      </c>
      <c r="C8" s="30"/>
      <c r="D8" s="30"/>
      <c r="E8" s="3" t="s">
        <v>12</v>
      </c>
      <c r="F8" s="3" t="s">
        <v>28</v>
      </c>
      <c r="G8" s="3" t="s">
        <v>29</v>
      </c>
    </row>
    <row r="9" spans="1:10" x14ac:dyDescent="0.25">
      <c r="A9" s="4" t="s">
        <v>39</v>
      </c>
      <c r="B9" s="31" t="str">
        <f>IFERROR(VLOOKUP(A9,PRODUCTOS.T[],2,FALSE), " ")</f>
        <v>Moño con agujeta Azul</v>
      </c>
      <c r="C9" s="31"/>
      <c r="D9" s="31"/>
      <c r="E9" s="4">
        <v>2</v>
      </c>
      <c r="F9" s="22">
        <f>IFERROR(VLOOKUP(A9,PRODUCTOS.T[],8,FALSE), "0")</f>
        <v>18</v>
      </c>
      <c r="G9" s="22">
        <f t="shared" ref="G9:G14" si="0">E9*F9</f>
        <v>36</v>
      </c>
    </row>
    <row r="10" spans="1:10" x14ac:dyDescent="0.25">
      <c r="A10" s="4" t="s">
        <v>40</v>
      </c>
      <c r="B10" s="31" t="str">
        <f>IFERROR(VLOOKUP(A10,PRODUCTOS.T[],2,FALSE), " ")</f>
        <v>Moño con agujeta Negro</v>
      </c>
      <c r="C10" s="31"/>
      <c r="D10" s="31"/>
      <c r="E10" s="4">
        <v>5</v>
      </c>
      <c r="F10" s="22">
        <f>IFERROR(VLOOKUP(A10,PRODUCTOS.T[],8,FALSE), "0")</f>
        <v>5.4</v>
      </c>
      <c r="G10" s="22">
        <f t="shared" si="0"/>
        <v>27</v>
      </c>
    </row>
    <row r="11" spans="1:10" x14ac:dyDescent="0.25">
      <c r="A11" s="4"/>
      <c r="B11" s="31" t="str">
        <f>IFERROR(VLOOKUP(A11,PRODUCTOS.T[],2,FALSE), " ")</f>
        <v xml:space="preserve"> </v>
      </c>
      <c r="C11" s="31"/>
      <c r="D11" s="31"/>
      <c r="E11" s="4"/>
      <c r="F11" s="22" t="str">
        <f>IFERROR(VLOOKUP(A11,PRODUCTOS.T[],8,FALSE), "0")</f>
        <v>0</v>
      </c>
      <c r="G11" s="22">
        <f t="shared" si="0"/>
        <v>0</v>
      </c>
    </row>
    <row r="12" spans="1:10" x14ac:dyDescent="0.25">
      <c r="A12" s="4"/>
      <c r="B12" s="31" t="str">
        <f>IFERROR(VLOOKUP(A12,PRODUCTOS.T[],2,FALSE), " ")</f>
        <v xml:space="preserve"> </v>
      </c>
      <c r="C12" s="31"/>
      <c r="D12" s="31"/>
      <c r="E12" s="4"/>
      <c r="F12" s="22" t="str">
        <f>IFERROR(VLOOKUP(A12,PRODUCTOS.T[],8,FALSE), "0")</f>
        <v>0</v>
      </c>
      <c r="G12" s="22">
        <f t="shared" si="0"/>
        <v>0</v>
      </c>
    </row>
    <row r="13" spans="1:10" x14ac:dyDescent="0.25">
      <c r="A13" s="4"/>
      <c r="B13" s="31" t="str">
        <f>IFERROR(VLOOKUP(A13,PRODUCTOS.T[],2,FALSE), " ")</f>
        <v xml:space="preserve"> </v>
      </c>
      <c r="C13" s="31"/>
      <c r="D13" s="31"/>
      <c r="E13" s="4"/>
      <c r="F13" s="22" t="str">
        <f>IFERROR(VLOOKUP(A13,PRODUCTOS.T[],8,FALSE), "0")</f>
        <v>0</v>
      </c>
      <c r="G13" s="22">
        <f t="shared" si="0"/>
        <v>0</v>
      </c>
      <c r="J13" s="9" t="s">
        <v>46</v>
      </c>
    </row>
    <row r="14" spans="1:10" x14ac:dyDescent="0.25">
      <c r="A14" s="4"/>
      <c r="B14" s="31" t="str">
        <f>IFERROR(VLOOKUP(A14,PRODUCTOS.T[],2,FALSE), " ")</f>
        <v xml:space="preserve"> </v>
      </c>
      <c r="C14" s="31"/>
      <c r="D14" s="31"/>
      <c r="E14" s="4"/>
      <c r="F14" s="4"/>
      <c r="G14" s="22">
        <f t="shared" si="0"/>
        <v>0</v>
      </c>
      <c r="J14" s="9" t="s">
        <v>62</v>
      </c>
    </row>
    <row r="15" spans="1:10" x14ac:dyDescent="0.25">
      <c r="A15" s="26" t="s">
        <v>30</v>
      </c>
      <c r="B15" s="26"/>
      <c r="C15" s="26"/>
      <c r="D15" s="26"/>
      <c r="E15" s="4">
        <f>SUM(E9:E14)</f>
        <v>7</v>
      </c>
      <c r="F15" s="2" t="s">
        <v>31</v>
      </c>
      <c r="G15" s="22">
        <f>SUM(G9:G14)</f>
        <v>63</v>
      </c>
      <c r="J15" s="9" t="s">
        <v>48</v>
      </c>
    </row>
    <row r="16" spans="1:10" ht="15" customHeight="1" x14ac:dyDescent="0.25">
      <c r="A16" s="32" t="s">
        <v>34</v>
      </c>
      <c r="B16" s="33"/>
      <c r="C16" s="34"/>
      <c r="D16" s="34"/>
      <c r="E16" s="34"/>
      <c r="F16" s="2" t="s">
        <v>32</v>
      </c>
      <c r="G16" s="22">
        <f>G15*5%</f>
        <v>3.1500000000000004</v>
      </c>
    </row>
    <row r="17" spans="1:7" x14ac:dyDescent="0.25">
      <c r="A17" s="35"/>
      <c r="B17" s="36"/>
      <c r="C17" s="34"/>
      <c r="D17" s="34"/>
      <c r="E17" s="34"/>
      <c r="F17" s="2" t="s">
        <v>33</v>
      </c>
      <c r="G17" s="22">
        <f>G15+G16</f>
        <v>66.150000000000006</v>
      </c>
    </row>
  </sheetData>
  <mergeCells count="20">
    <mergeCell ref="B13:D13"/>
    <mergeCell ref="B8:D8"/>
    <mergeCell ref="B9:D9"/>
    <mergeCell ref="B10:D10"/>
    <mergeCell ref="B11:D11"/>
    <mergeCell ref="B12:D12"/>
    <mergeCell ref="B14:D14"/>
    <mergeCell ref="A15:D15"/>
    <mergeCell ref="A16:B16"/>
    <mergeCell ref="C16:E17"/>
    <mergeCell ref="A17:B17"/>
    <mergeCell ref="A6:G6"/>
    <mergeCell ref="A7:F7"/>
    <mergeCell ref="A3:G3"/>
    <mergeCell ref="A4:B4"/>
    <mergeCell ref="C4:D4"/>
    <mergeCell ref="F4:G4"/>
    <mergeCell ref="F5:G5"/>
    <mergeCell ref="C5:D5"/>
    <mergeCell ref="A5:B5"/>
  </mergeCells>
  <dataValidations count="1">
    <dataValidation type="list" allowBlank="1" showInputMessage="1" showErrorMessage="1" sqref="G7" xr:uid="{BD61EF91-5D6E-4079-8DB7-8D31B33F2BE4}">
      <formula1>$J$13:$J$15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3B72C-CC2C-4F41-A038-0A8C7AFB3533}">
  <sheetPr codeName="Hoja2"/>
  <dimension ref="A1:G57"/>
  <sheetViews>
    <sheetView workbookViewId="0"/>
  </sheetViews>
  <sheetFormatPr baseColWidth="10" defaultRowHeight="15" x14ac:dyDescent="0.25"/>
  <sheetData>
    <row r="1" spans="1:7" x14ac:dyDescent="0.25">
      <c r="A1" s="9" t="s">
        <v>22</v>
      </c>
      <c r="B1" s="9">
        <v>2</v>
      </c>
      <c r="C1" s="9"/>
      <c r="D1" s="9"/>
      <c r="E1" s="9"/>
      <c r="F1" s="9"/>
      <c r="G1" s="9"/>
    </row>
    <row r="2" spans="1:7" x14ac:dyDescent="0.25">
      <c r="A2" s="9" t="s">
        <v>11</v>
      </c>
      <c r="B2" s="25">
        <v>44842</v>
      </c>
      <c r="C2" s="9"/>
      <c r="D2" s="9"/>
      <c r="E2" s="9"/>
      <c r="F2" s="9"/>
      <c r="G2" s="9"/>
    </row>
    <row r="3" spans="1:7" x14ac:dyDescent="0.25">
      <c r="A3" s="26" t="s">
        <v>23</v>
      </c>
      <c r="B3" s="26"/>
      <c r="C3" s="26"/>
      <c r="D3" s="26"/>
      <c r="E3" s="26"/>
      <c r="F3" s="26"/>
      <c r="G3" s="26"/>
    </row>
    <row r="4" spans="1:7" x14ac:dyDescent="0.25">
      <c r="A4" s="30" t="s">
        <v>24</v>
      </c>
      <c r="B4" s="30"/>
      <c r="C4" s="31">
        <v>10103</v>
      </c>
      <c r="D4" s="31"/>
      <c r="E4" s="3" t="s">
        <v>16</v>
      </c>
      <c r="F4" s="31" t="str">
        <f>IFERROR(VLOOKUP(C4,CLIENTES.T[],3,FALSE), " ")</f>
        <v>IXTLAHUCAN</v>
      </c>
      <c r="G4" s="31"/>
    </row>
    <row r="5" spans="1:7" x14ac:dyDescent="0.25">
      <c r="A5" s="30" t="s">
        <v>17</v>
      </c>
      <c r="B5" s="30"/>
      <c r="C5" s="31" t="str">
        <f>IFERROR(VLOOKUP(C4,CLIENTES.T[],2,FALSE), " ")</f>
        <v>DIANA</v>
      </c>
      <c r="D5" s="31"/>
      <c r="E5" s="3" t="s">
        <v>25</v>
      </c>
      <c r="F5" s="31">
        <f>IFERROR(VLOOKUP(C4,CLIENTES.T[],4,FALSE), " ")</f>
        <v>545497497</v>
      </c>
      <c r="G5" s="31"/>
    </row>
    <row r="6" spans="1:7" x14ac:dyDescent="0.25">
      <c r="A6" s="26" t="s">
        <v>26</v>
      </c>
      <c r="B6" s="26"/>
      <c r="C6" s="26"/>
      <c r="D6" s="26"/>
      <c r="E6" s="26"/>
      <c r="F6" s="26"/>
      <c r="G6" s="26"/>
    </row>
    <row r="7" spans="1:7" x14ac:dyDescent="0.25">
      <c r="A7" s="27" t="s">
        <v>27</v>
      </c>
      <c r="B7" s="28"/>
      <c r="C7" s="28"/>
      <c r="D7" s="28"/>
      <c r="E7" s="28"/>
      <c r="F7" s="29"/>
      <c r="G7" s="1" t="s">
        <v>62</v>
      </c>
    </row>
    <row r="8" spans="1:7" x14ac:dyDescent="0.25">
      <c r="A8" s="3" t="s">
        <v>0</v>
      </c>
      <c r="B8" s="30" t="s">
        <v>1</v>
      </c>
      <c r="C8" s="30"/>
      <c r="D8" s="30"/>
      <c r="E8" s="3" t="s">
        <v>12</v>
      </c>
      <c r="F8" s="3" t="s">
        <v>28</v>
      </c>
      <c r="G8" s="3" t="s">
        <v>29</v>
      </c>
    </row>
    <row r="9" spans="1:7" x14ac:dyDescent="0.25">
      <c r="A9" s="4" t="s">
        <v>39</v>
      </c>
      <c r="B9" s="31" t="str">
        <f>IFERROR(VLOOKUP(A9,PRODUCTOS.T[],2,FALSE), " ")</f>
        <v>Moño con agujeta Azul</v>
      </c>
      <c r="C9" s="31"/>
      <c r="D9" s="31"/>
      <c r="E9" s="4">
        <v>2</v>
      </c>
      <c r="F9" s="22">
        <f>IFERROR(VLOOKUP(A9,PRODUCTOS.T[],8,FALSE), "0")</f>
        <v>18</v>
      </c>
      <c r="G9" s="22">
        <f t="shared" ref="G9:G14" si="0">E9*F9</f>
        <v>36</v>
      </c>
    </row>
    <row r="10" spans="1:7" x14ac:dyDescent="0.25">
      <c r="A10" s="4" t="s">
        <v>40</v>
      </c>
      <c r="B10" s="31" t="str">
        <f>IFERROR(VLOOKUP(A10,PRODUCTOS.T[],2,FALSE), " ")</f>
        <v>Moño con agujeta Negro</v>
      </c>
      <c r="C10" s="31"/>
      <c r="D10" s="31"/>
      <c r="E10" s="4">
        <v>5</v>
      </c>
      <c r="F10" s="22">
        <f>IFERROR(VLOOKUP(A10,PRODUCTOS.T[],8,FALSE), "0")</f>
        <v>5.4</v>
      </c>
      <c r="G10" s="22">
        <f t="shared" si="0"/>
        <v>27</v>
      </c>
    </row>
    <row r="11" spans="1:7" x14ac:dyDescent="0.25">
      <c r="A11" s="4"/>
      <c r="B11" s="31" t="str">
        <f>IFERROR(VLOOKUP(A11,PRODUCTOS.T[],2,FALSE), " ")</f>
        <v xml:space="preserve"> </v>
      </c>
      <c r="C11" s="31"/>
      <c r="D11" s="31"/>
      <c r="E11" s="4"/>
      <c r="F11" s="22" t="str">
        <f>IFERROR(VLOOKUP(A11,PRODUCTOS.T[],8,FALSE), "0")</f>
        <v>0</v>
      </c>
      <c r="G11" s="22">
        <f t="shared" si="0"/>
        <v>0</v>
      </c>
    </row>
    <row r="12" spans="1:7" x14ac:dyDescent="0.25">
      <c r="A12" s="4"/>
      <c r="B12" s="31" t="str">
        <f>IFERROR(VLOOKUP(A12,PRODUCTOS.T[],2,FALSE), " ")</f>
        <v xml:space="preserve"> </v>
      </c>
      <c r="C12" s="31"/>
      <c r="D12" s="31"/>
      <c r="E12" s="4"/>
      <c r="F12" s="22" t="str">
        <f>IFERROR(VLOOKUP(A12,PRODUCTOS.T[],8,FALSE), "0")</f>
        <v>0</v>
      </c>
      <c r="G12" s="22">
        <f t="shared" si="0"/>
        <v>0</v>
      </c>
    </row>
    <row r="13" spans="1:7" x14ac:dyDescent="0.25">
      <c r="A13" s="4"/>
      <c r="B13" s="31" t="str">
        <f>IFERROR(VLOOKUP(A13,PRODUCTOS.T[],2,FALSE), " ")</f>
        <v xml:space="preserve"> </v>
      </c>
      <c r="C13" s="31"/>
      <c r="D13" s="31"/>
      <c r="E13" s="4"/>
      <c r="F13" s="22" t="str">
        <f>IFERROR(VLOOKUP(A13,PRODUCTOS.T[],8,FALSE), "0")</f>
        <v>0</v>
      </c>
      <c r="G13" s="22">
        <f t="shared" si="0"/>
        <v>0</v>
      </c>
    </row>
    <row r="14" spans="1:7" x14ac:dyDescent="0.25">
      <c r="A14" s="4"/>
      <c r="B14" s="31" t="str">
        <f>IFERROR(VLOOKUP(A14,PRODUCTOS.T[],2,FALSE), " ")</f>
        <v xml:space="preserve"> </v>
      </c>
      <c r="C14" s="31"/>
      <c r="D14" s="31"/>
      <c r="E14" s="4"/>
      <c r="F14" s="4"/>
      <c r="G14" s="22">
        <f t="shared" si="0"/>
        <v>0</v>
      </c>
    </row>
    <row r="15" spans="1:7" x14ac:dyDescent="0.25">
      <c r="A15" s="26" t="s">
        <v>30</v>
      </c>
      <c r="B15" s="26"/>
      <c r="C15" s="26"/>
      <c r="D15" s="26"/>
      <c r="E15" s="4">
        <f>SUM(E9:E14)</f>
        <v>7</v>
      </c>
      <c r="F15" s="2" t="s">
        <v>31</v>
      </c>
      <c r="G15" s="22">
        <f>SUM(G9:G14)</f>
        <v>63</v>
      </c>
    </row>
    <row r="16" spans="1:7" x14ac:dyDescent="0.25">
      <c r="A16" s="32" t="s">
        <v>34</v>
      </c>
      <c r="B16" s="33"/>
      <c r="C16" s="34"/>
      <c r="D16" s="34"/>
      <c r="E16" s="34"/>
      <c r="F16" s="2" t="s">
        <v>32</v>
      </c>
      <c r="G16" s="22">
        <f>G15*5%</f>
        <v>3.1500000000000004</v>
      </c>
    </row>
    <row r="17" spans="1:7" x14ac:dyDescent="0.25">
      <c r="A17" s="35"/>
      <c r="B17" s="36"/>
      <c r="C17" s="34"/>
      <c r="D17" s="34"/>
      <c r="E17" s="34"/>
      <c r="F17" s="2" t="s">
        <v>33</v>
      </c>
      <c r="G17" s="22">
        <f>G15+G16</f>
        <v>66.150000000000006</v>
      </c>
    </row>
    <row r="21" spans="1:7" x14ac:dyDescent="0.25">
      <c r="A21" s="9" t="s">
        <v>22</v>
      </c>
      <c r="B21" s="9">
        <v>1</v>
      </c>
      <c r="C21" s="9"/>
      <c r="D21" s="9"/>
      <c r="E21" s="9"/>
      <c r="F21" s="9"/>
      <c r="G21" s="9"/>
    </row>
    <row r="22" spans="1:7" x14ac:dyDescent="0.25">
      <c r="A22" s="9" t="s">
        <v>11</v>
      </c>
      <c r="B22" s="25">
        <v>44842</v>
      </c>
      <c r="C22" s="9"/>
      <c r="D22" s="9"/>
      <c r="E22" s="9"/>
      <c r="F22" s="9"/>
      <c r="G22" s="9"/>
    </row>
    <row r="23" spans="1:7" x14ac:dyDescent="0.25">
      <c r="A23" s="26" t="s">
        <v>23</v>
      </c>
      <c r="B23" s="26"/>
      <c r="C23" s="26"/>
      <c r="D23" s="26"/>
      <c r="E23" s="26"/>
      <c r="F23" s="26"/>
      <c r="G23" s="26"/>
    </row>
    <row r="24" spans="1:7" x14ac:dyDescent="0.25">
      <c r="A24" s="30" t="s">
        <v>24</v>
      </c>
      <c r="B24" s="30"/>
      <c r="C24" s="31">
        <v>10101</v>
      </c>
      <c r="D24" s="31"/>
      <c r="E24" s="3" t="s">
        <v>16</v>
      </c>
      <c r="F24" s="31" t="str">
        <f>IFERROR(VLOOKUP(C24,CLIENTES.T[],3,FALSE), " ")</f>
        <v>FLOR SILVESTRE</v>
      </c>
      <c r="G24" s="31"/>
    </row>
    <row r="25" spans="1:7" x14ac:dyDescent="0.25">
      <c r="A25" s="30" t="s">
        <v>17</v>
      </c>
      <c r="B25" s="30"/>
      <c r="C25" s="31" t="str">
        <f>IFERROR(VLOOKUP(C24,CLIENTES.T[],2,FALSE), " ")</f>
        <v>ERNESTO</v>
      </c>
      <c r="D25" s="31"/>
      <c r="E25" s="3" t="s">
        <v>25</v>
      </c>
      <c r="F25" s="31">
        <f>IFERROR(VLOOKUP(C24,CLIENTES.T[],4,FALSE), " ")</f>
        <v>5554291634</v>
      </c>
      <c r="G25" s="31"/>
    </row>
    <row r="26" spans="1:7" x14ac:dyDescent="0.25">
      <c r="A26" s="26" t="s">
        <v>26</v>
      </c>
      <c r="B26" s="26"/>
      <c r="C26" s="26"/>
      <c r="D26" s="26"/>
      <c r="E26" s="26"/>
      <c r="F26" s="26"/>
      <c r="G26" s="26"/>
    </row>
    <row r="27" spans="1:7" x14ac:dyDescent="0.25">
      <c r="A27" s="27" t="s">
        <v>27</v>
      </c>
      <c r="B27" s="28"/>
      <c r="C27" s="28"/>
      <c r="D27" s="28"/>
      <c r="E27" s="28"/>
      <c r="F27" s="29"/>
      <c r="G27" s="1" t="s">
        <v>46</v>
      </c>
    </row>
    <row r="28" spans="1:7" x14ac:dyDescent="0.25">
      <c r="A28" s="3" t="s">
        <v>0</v>
      </c>
      <c r="B28" s="30" t="s">
        <v>1</v>
      </c>
      <c r="C28" s="30"/>
      <c r="D28" s="30"/>
      <c r="E28" s="3" t="s">
        <v>12</v>
      </c>
      <c r="F28" s="3" t="s">
        <v>28</v>
      </c>
      <c r="G28" s="3" t="s">
        <v>29</v>
      </c>
    </row>
    <row r="29" spans="1:7" x14ac:dyDescent="0.25">
      <c r="A29" s="4" t="s">
        <v>39</v>
      </c>
      <c r="B29" s="31" t="str">
        <f>IFERROR(VLOOKUP(A29,PRODUCTOS.T[],2,FALSE), " ")</f>
        <v>Moño con agujeta Azul</v>
      </c>
      <c r="C29" s="31"/>
      <c r="D29" s="31"/>
      <c r="E29" s="4">
        <v>4</v>
      </c>
      <c r="F29" s="22">
        <f>IFERROR(VLOOKUP(A29,PRODUCTOS.T[],8,FALSE), "0")</f>
        <v>18</v>
      </c>
      <c r="G29" s="22">
        <f t="shared" ref="G29:G34" si="1">E29*F29</f>
        <v>72</v>
      </c>
    </row>
    <row r="30" spans="1:7" x14ac:dyDescent="0.25">
      <c r="A30" s="4" t="s">
        <v>38</v>
      </c>
      <c r="B30" s="31" t="str">
        <f>IFERROR(VLOOKUP(A30,PRODUCTOS.T[],2,FALSE), " ")</f>
        <v>Tabaco con moño</v>
      </c>
      <c r="C30" s="31"/>
      <c r="D30" s="31"/>
      <c r="E30" s="4">
        <v>5</v>
      </c>
      <c r="F30" s="22">
        <f>IFERROR(VLOOKUP(A30,PRODUCTOS.T[],8,FALSE), "0")</f>
        <v>3</v>
      </c>
      <c r="G30" s="22">
        <f t="shared" si="1"/>
        <v>15</v>
      </c>
    </row>
    <row r="31" spans="1:7" x14ac:dyDescent="0.25">
      <c r="A31" s="4" t="s">
        <v>40</v>
      </c>
      <c r="B31" s="31" t="str">
        <f>IFERROR(VLOOKUP(A31,PRODUCTOS.T[],2,FALSE), " ")</f>
        <v>Moño con agujeta Negro</v>
      </c>
      <c r="C31" s="31"/>
      <c r="D31" s="31"/>
      <c r="E31" s="4">
        <v>2</v>
      </c>
      <c r="F31" s="22">
        <f>IFERROR(VLOOKUP(A31,PRODUCTOS.T[],8,FALSE), "0")</f>
        <v>5.4</v>
      </c>
      <c r="G31" s="22">
        <f t="shared" si="1"/>
        <v>10.8</v>
      </c>
    </row>
    <row r="32" spans="1:7" x14ac:dyDescent="0.25">
      <c r="A32" s="4"/>
      <c r="B32" s="31" t="str">
        <f>IFERROR(VLOOKUP(A32,PRODUCTOS.T[],2,FALSE), " ")</f>
        <v xml:space="preserve"> </v>
      </c>
      <c r="C32" s="31"/>
      <c r="D32" s="31"/>
      <c r="E32" s="4"/>
      <c r="F32" s="22" t="str">
        <f>IFERROR(VLOOKUP(A32,PRODUCTOS.T[],8,FALSE), "0")</f>
        <v>0</v>
      </c>
      <c r="G32" s="22">
        <f t="shared" si="1"/>
        <v>0</v>
      </c>
    </row>
    <row r="33" spans="1:7" x14ac:dyDescent="0.25">
      <c r="A33" s="4"/>
      <c r="B33" s="31" t="str">
        <f>IFERROR(VLOOKUP(A33,PRODUCTOS.T[],2,FALSE), " ")</f>
        <v xml:space="preserve"> </v>
      </c>
      <c r="C33" s="31"/>
      <c r="D33" s="31"/>
      <c r="E33" s="4"/>
      <c r="F33" s="22" t="str">
        <f>IFERROR(VLOOKUP(A33,PRODUCTOS.T[],8,FALSE), "0")</f>
        <v>0</v>
      </c>
      <c r="G33" s="22">
        <f t="shared" si="1"/>
        <v>0</v>
      </c>
    </row>
    <row r="34" spans="1:7" x14ac:dyDescent="0.25">
      <c r="A34" s="4"/>
      <c r="B34" s="31" t="str">
        <f>IFERROR(VLOOKUP(A34,PRODUCTOS.T[],2,FALSE), " ")</f>
        <v xml:space="preserve"> </v>
      </c>
      <c r="C34" s="31"/>
      <c r="D34" s="31"/>
      <c r="E34" s="4"/>
      <c r="F34" s="4"/>
      <c r="G34" s="22">
        <f t="shared" si="1"/>
        <v>0</v>
      </c>
    </row>
    <row r="35" spans="1:7" x14ac:dyDescent="0.25">
      <c r="A35" s="26" t="s">
        <v>30</v>
      </c>
      <c r="B35" s="26"/>
      <c r="C35" s="26"/>
      <c r="D35" s="26"/>
      <c r="E35" s="4">
        <f>SUM(E29:E34)</f>
        <v>11</v>
      </c>
      <c r="F35" s="2" t="s">
        <v>31</v>
      </c>
      <c r="G35" s="22">
        <f>SUM(G29:G34)</f>
        <v>97.8</v>
      </c>
    </row>
    <row r="36" spans="1:7" x14ac:dyDescent="0.25">
      <c r="A36" s="32" t="s">
        <v>34</v>
      </c>
      <c r="B36" s="33"/>
      <c r="C36" s="34"/>
      <c r="D36" s="34"/>
      <c r="E36" s="34"/>
      <c r="F36" s="2" t="s">
        <v>32</v>
      </c>
      <c r="G36" s="22">
        <f>G35*5%</f>
        <v>4.8900000000000006</v>
      </c>
    </row>
    <row r="37" spans="1:7" x14ac:dyDescent="0.25">
      <c r="A37" s="35"/>
      <c r="B37" s="36"/>
      <c r="C37" s="34"/>
      <c r="D37" s="34"/>
      <c r="E37" s="34"/>
      <c r="F37" s="2" t="s">
        <v>33</v>
      </c>
      <c r="G37" s="22">
        <f>G35+G36</f>
        <v>102.69</v>
      </c>
    </row>
    <row r="41" spans="1:7" x14ac:dyDescent="0.25">
      <c r="A41" s="9" t="s">
        <v>22</v>
      </c>
      <c r="B41" s="9">
        <v>1</v>
      </c>
      <c r="C41" s="9"/>
      <c r="D41" s="9"/>
      <c r="E41" s="9"/>
      <c r="F41" s="9"/>
      <c r="G41" s="9"/>
    </row>
    <row r="42" spans="1:7" x14ac:dyDescent="0.25">
      <c r="A42" s="9" t="s">
        <v>11</v>
      </c>
      <c r="B42" s="25">
        <v>44842</v>
      </c>
      <c r="C42" s="9"/>
      <c r="D42" s="9"/>
      <c r="E42" s="9"/>
      <c r="F42" s="9"/>
      <c r="G42" s="9"/>
    </row>
    <row r="43" spans="1:7" x14ac:dyDescent="0.25">
      <c r="A43" s="26" t="s">
        <v>23</v>
      </c>
      <c r="B43" s="26"/>
      <c r="C43" s="26"/>
      <c r="D43" s="26"/>
      <c r="E43" s="26"/>
      <c r="F43" s="26"/>
      <c r="G43" s="26"/>
    </row>
    <row r="44" spans="1:7" x14ac:dyDescent="0.25">
      <c r="A44" s="30" t="s">
        <v>24</v>
      </c>
      <c r="B44" s="30"/>
      <c r="C44" s="31"/>
      <c r="D44" s="31"/>
      <c r="E44" s="3" t="s">
        <v>16</v>
      </c>
      <c r="F44" s="31" t="str">
        <f>IFERROR(VLOOKUP(C44,CLIENTES.T[],3,FALSE), " ")</f>
        <v xml:space="preserve"> </v>
      </c>
      <c r="G44" s="31"/>
    </row>
    <row r="45" spans="1:7" x14ac:dyDescent="0.25">
      <c r="A45" s="30" t="s">
        <v>17</v>
      </c>
      <c r="B45" s="30"/>
      <c r="C45" s="31" t="str">
        <f>IFERROR(VLOOKUP(C44,CLIENTES.T[],2,FALSE), " ")</f>
        <v xml:space="preserve"> </v>
      </c>
      <c r="D45" s="31"/>
      <c r="E45" s="3" t="s">
        <v>25</v>
      </c>
      <c r="F45" s="31" t="str">
        <f>IFERROR(VLOOKUP(C44,CLIENTES.T[],4,FALSE), " ")</f>
        <v xml:space="preserve"> </v>
      </c>
      <c r="G45" s="31"/>
    </row>
    <row r="46" spans="1:7" x14ac:dyDescent="0.25">
      <c r="A46" s="26" t="s">
        <v>26</v>
      </c>
      <c r="B46" s="26"/>
      <c r="C46" s="26"/>
      <c r="D46" s="26"/>
      <c r="E46" s="26"/>
      <c r="F46" s="26"/>
      <c r="G46" s="26"/>
    </row>
    <row r="47" spans="1:7" x14ac:dyDescent="0.25">
      <c r="A47" s="27" t="s">
        <v>27</v>
      </c>
      <c r="B47" s="28"/>
      <c r="C47" s="28"/>
      <c r="D47" s="28"/>
      <c r="E47" s="28"/>
      <c r="F47" s="29"/>
      <c r="G47" s="1" t="s">
        <v>46</v>
      </c>
    </row>
    <row r="48" spans="1:7" x14ac:dyDescent="0.25">
      <c r="A48" s="3" t="s">
        <v>0</v>
      </c>
      <c r="B48" s="30" t="s">
        <v>1</v>
      </c>
      <c r="C48" s="30"/>
      <c r="D48" s="30"/>
      <c r="E48" s="3" t="s">
        <v>12</v>
      </c>
      <c r="F48" s="3" t="s">
        <v>28</v>
      </c>
      <c r="G48" s="3" t="s">
        <v>29</v>
      </c>
    </row>
    <row r="49" spans="1:7" x14ac:dyDescent="0.25">
      <c r="A49" s="4"/>
      <c r="B49" s="31" t="str">
        <f>IFERROR(VLOOKUP(A49,PRODUCTOS.T[],2,FALSE), " ")</f>
        <v xml:space="preserve"> </v>
      </c>
      <c r="C49" s="31"/>
      <c r="D49" s="31"/>
      <c r="E49" s="4"/>
      <c r="F49" s="22" t="str">
        <f>IFERROR(VLOOKUP(A49,PRODUCTOS.T[],8,FALSE), "0")</f>
        <v>0</v>
      </c>
      <c r="G49" s="22">
        <f t="shared" ref="G49:G54" si="2">E49*F49</f>
        <v>0</v>
      </c>
    </row>
    <row r="50" spans="1:7" x14ac:dyDescent="0.25">
      <c r="A50" s="4"/>
      <c r="B50" s="31" t="str">
        <f>IFERROR(VLOOKUP(A50,PRODUCTOS.T[],2,FALSE), " ")</f>
        <v xml:space="preserve"> </v>
      </c>
      <c r="C50" s="31"/>
      <c r="D50" s="31"/>
      <c r="E50" s="4"/>
      <c r="F50" s="22" t="str">
        <f>IFERROR(VLOOKUP(A50,PRODUCTOS.T[],8,FALSE), "0")</f>
        <v>0</v>
      </c>
      <c r="G50" s="22">
        <f t="shared" si="2"/>
        <v>0</v>
      </c>
    </row>
    <row r="51" spans="1:7" x14ac:dyDescent="0.25">
      <c r="A51" s="4"/>
      <c r="B51" s="31" t="str">
        <f>IFERROR(VLOOKUP(A51,PRODUCTOS.T[],2,FALSE), " ")</f>
        <v xml:space="preserve"> </v>
      </c>
      <c r="C51" s="31"/>
      <c r="D51" s="31"/>
      <c r="E51" s="4"/>
      <c r="F51" s="22" t="str">
        <f>IFERROR(VLOOKUP(A51,PRODUCTOS.T[],8,FALSE), "0")</f>
        <v>0</v>
      </c>
      <c r="G51" s="22">
        <f t="shared" si="2"/>
        <v>0</v>
      </c>
    </row>
    <row r="52" spans="1:7" x14ac:dyDescent="0.25">
      <c r="A52" s="4"/>
      <c r="B52" s="31" t="str">
        <f>IFERROR(VLOOKUP(A52,PRODUCTOS.T[],2,FALSE), " ")</f>
        <v xml:space="preserve"> </v>
      </c>
      <c r="C52" s="31"/>
      <c r="D52" s="31"/>
      <c r="E52" s="4"/>
      <c r="F52" s="22" t="str">
        <f>IFERROR(VLOOKUP(A52,PRODUCTOS.T[],8,FALSE), "0")</f>
        <v>0</v>
      </c>
      <c r="G52" s="22">
        <f t="shared" si="2"/>
        <v>0</v>
      </c>
    </row>
    <row r="53" spans="1:7" x14ac:dyDescent="0.25">
      <c r="A53" s="4"/>
      <c r="B53" s="31" t="str">
        <f>IFERROR(VLOOKUP(A53,PRODUCTOS.T[],2,FALSE), " ")</f>
        <v xml:space="preserve"> </v>
      </c>
      <c r="C53" s="31"/>
      <c r="D53" s="31"/>
      <c r="E53" s="4"/>
      <c r="F53" s="22" t="str">
        <f>IFERROR(VLOOKUP(A53,PRODUCTOS.T[],8,FALSE), "0")</f>
        <v>0</v>
      </c>
      <c r="G53" s="22">
        <f t="shared" si="2"/>
        <v>0</v>
      </c>
    </row>
    <row r="54" spans="1:7" x14ac:dyDescent="0.25">
      <c r="A54" s="4"/>
      <c r="B54" s="31" t="str">
        <f>IFERROR(VLOOKUP(A54,PRODUCTOS.T[],2,FALSE), " ")</f>
        <v xml:space="preserve"> </v>
      </c>
      <c r="C54" s="31"/>
      <c r="D54" s="31"/>
      <c r="E54" s="4"/>
      <c r="F54" s="4"/>
      <c r="G54" s="22">
        <f t="shared" si="2"/>
        <v>0</v>
      </c>
    </row>
    <row r="55" spans="1:7" x14ac:dyDescent="0.25">
      <c r="A55" s="26" t="s">
        <v>30</v>
      </c>
      <c r="B55" s="26"/>
      <c r="C55" s="26"/>
      <c r="D55" s="26"/>
      <c r="E55" s="4">
        <f>SUM(E49:E54)</f>
        <v>0</v>
      </c>
      <c r="F55" s="2" t="s">
        <v>31</v>
      </c>
      <c r="G55" s="22">
        <f>SUM(G49:G54)</f>
        <v>0</v>
      </c>
    </row>
    <row r="56" spans="1:7" x14ac:dyDescent="0.25">
      <c r="A56" s="32" t="s">
        <v>34</v>
      </c>
      <c r="B56" s="33"/>
      <c r="C56" s="34"/>
      <c r="D56" s="34"/>
      <c r="E56" s="34"/>
      <c r="F56" s="2" t="s">
        <v>32</v>
      </c>
      <c r="G56" s="22">
        <f>G55*5%</f>
        <v>0</v>
      </c>
    </row>
    <row r="57" spans="1:7" x14ac:dyDescent="0.25">
      <c r="A57" s="35"/>
      <c r="B57" s="36"/>
      <c r="C57" s="34"/>
      <c r="D57" s="34"/>
      <c r="E57" s="34"/>
      <c r="F57" s="2" t="s">
        <v>33</v>
      </c>
      <c r="G57" s="22">
        <f>G55+G56</f>
        <v>0</v>
      </c>
    </row>
  </sheetData>
  <mergeCells count="60">
    <mergeCell ref="B12:D12"/>
    <mergeCell ref="B13:D13"/>
    <mergeCell ref="B14:D14"/>
    <mergeCell ref="A15:D15"/>
    <mergeCell ref="A16:B16"/>
    <mergeCell ref="C16:E17"/>
    <mergeCell ref="A17:B17"/>
    <mergeCell ref="A6:G6"/>
    <mergeCell ref="A7:F7"/>
    <mergeCell ref="B8:D8"/>
    <mergeCell ref="B9:D9"/>
    <mergeCell ref="B10:D10"/>
    <mergeCell ref="B11:D11"/>
    <mergeCell ref="A3:G3"/>
    <mergeCell ref="A4:B4"/>
    <mergeCell ref="C4:D4"/>
    <mergeCell ref="F4:G4"/>
    <mergeCell ref="A5:B5"/>
    <mergeCell ref="C5:D5"/>
    <mergeCell ref="F5:G5"/>
    <mergeCell ref="B32:D32"/>
    <mergeCell ref="B33:D33"/>
    <mergeCell ref="B34:D34"/>
    <mergeCell ref="A35:D35"/>
    <mergeCell ref="A36:B36"/>
    <mergeCell ref="C36:E37"/>
    <mergeCell ref="A37:B37"/>
    <mergeCell ref="A26:G26"/>
    <mergeCell ref="A27:F27"/>
    <mergeCell ref="B28:D28"/>
    <mergeCell ref="B29:D29"/>
    <mergeCell ref="B30:D30"/>
    <mergeCell ref="B31:D31"/>
    <mergeCell ref="A23:G23"/>
    <mergeCell ref="A24:B24"/>
    <mergeCell ref="C24:D24"/>
    <mergeCell ref="F24:G24"/>
    <mergeCell ref="A25:B25"/>
    <mergeCell ref="C25:D25"/>
    <mergeCell ref="F25:G25"/>
    <mergeCell ref="B52:D52"/>
    <mergeCell ref="B53:D53"/>
    <mergeCell ref="B54:D54"/>
    <mergeCell ref="A55:D55"/>
    <mergeCell ref="A56:B56"/>
    <mergeCell ref="C56:E57"/>
    <mergeCell ref="A57:B57"/>
    <mergeCell ref="A46:G46"/>
    <mergeCell ref="A47:F47"/>
    <mergeCell ref="B48:D48"/>
    <mergeCell ref="B49:D49"/>
    <mergeCell ref="B50:D50"/>
    <mergeCell ref="B51:D51"/>
    <mergeCell ref="A43:G43"/>
    <mergeCell ref="A44:B44"/>
    <mergeCell ref="C44:D44"/>
    <mergeCell ref="F44:G44"/>
    <mergeCell ref="A45:B45"/>
    <mergeCell ref="C45:D45"/>
    <mergeCell ref="F45:G45"/>
  </mergeCells>
  <dataValidations count="2">
    <dataValidation type="list" allowBlank="1" showInputMessage="1" showErrorMessage="1" sqref="G27" xr:uid="{D2F7C388-4695-4D84-A91A-51C6256249EC}">
      <formula1>$J$33:$J$35</formula1>
    </dataValidation>
    <dataValidation type="list" allowBlank="1" showInputMessage="1" showErrorMessage="1" sqref="G7" xr:uid="{3E62E110-3ADA-4A23-B620-814CE3C62B5A}">
      <formula1>$J$13:$J$15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C65E-A4BA-4129-AC8E-B044D7BE8CCB}">
  <dimension ref="A1:E5"/>
  <sheetViews>
    <sheetView workbookViewId="0">
      <selection sqref="A1:E1"/>
    </sheetView>
  </sheetViews>
  <sheetFormatPr baseColWidth="10" defaultRowHeight="15" x14ac:dyDescent="0.25"/>
  <cols>
    <col min="1" max="1" width="11.42578125" style="9"/>
    <col min="2" max="2" width="16" style="9" customWidth="1"/>
    <col min="3" max="3" width="25.85546875" style="9" customWidth="1"/>
    <col min="4" max="4" width="16.140625" style="9" customWidth="1"/>
    <col min="5" max="16384" width="11.42578125" style="9"/>
  </cols>
  <sheetData>
    <row r="1" spans="1:5" x14ac:dyDescent="0.25">
      <c r="A1" s="47" t="s">
        <v>64</v>
      </c>
      <c r="B1" s="31"/>
      <c r="C1" s="31"/>
      <c r="D1" s="31"/>
      <c r="E1" s="31"/>
    </row>
    <row r="2" spans="1:5" x14ac:dyDescent="0.25">
      <c r="A2" s="5" t="s">
        <v>11</v>
      </c>
      <c r="B2" s="6" t="s">
        <v>65</v>
      </c>
      <c r="C2" s="6" t="s">
        <v>66</v>
      </c>
      <c r="D2" s="6" t="s">
        <v>67</v>
      </c>
      <c r="E2" s="8" t="s">
        <v>68</v>
      </c>
    </row>
    <row r="3" spans="1:5" x14ac:dyDescent="0.25">
      <c r="A3" s="23">
        <v>44842</v>
      </c>
      <c r="B3" s="16">
        <v>95141</v>
      </c>
      <c r="C3" s="16" t="s">
        <v>70</v>
      </c>
      <c r="D3" s="16" t="s">
        <v>69</v>
      </c>
      <c r="E3" s="48">
        <v>50</v>
      </c>
    </row>
    <row r="4" spans="1:5" x14ac:dyDescent="0.25">
      <c r="A4" s="23">
        <v>44843</v>
      </c>
      <c r="B4" s="16">
        <v>95142</v>
      </c>
      <c r="C4" s="16" t="s">
        <v>70</v>
      </c>
      <c r="D4" s="16" t="s">
        <v>69</v>
      </c>
      <c r="E4" s="48">
        <v>60</v>
      </c>
    </row>
    <row r="5" spans="1:5" x14ac:dyDescent="0.25">
      <c r="A5" s="15" t="s">
        <v>61</v>
      </c>
      <c r="B5" s="16"/>
      <c r="C5" s="16"/>
      <c r="D5" s="16"/>
      <c r="E5" s="24">
        <f>SUBTOTAL(109,CAJAP.T[VALOR])</f>
        <v>110</v>
      </c>
    </row>
  </sheetData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67CC-4616-4914-8DCA-8F7DE86F8020}">
  <dimension ref="A1:E4"/>
  <sheetViews>
    <sheetView workbookViewId="0">
      <selection activeCell="H6" sqref="H6"/>
    </sheetView>
  </sheetViews>
  <sheetFormatPr baseColWidth="10" defaultRowHeight="15" x14ac:dyDescent="0.25"/>
  <cols>
    <col min="1" max="1" width="10.7109375" style="9" bestFit="1" customWidth="1"/>
    <col min="2" max="2" width="14.5703125" style="9" bestFit="1" customWidth="1"/>
    <col min="3" max="3" width="25.85546875" style="9" customWidth="1"/>
    <col min="4" max="4" width="13" style="9" bestFit="1" customWidth="1"/>
    <col min="5" max="16384" width="11.42578125" style="9"/>
  </cols>
  <sheetData>
    <row r="1" spans="1:5" x14ac:dyDescent="0.25">
      <c r="A1" s="46" t="s">
        <v>71</v>
      </c>
      <c r="B1" s="46"/>
      <c r="C1" s="46"/>
      <c r="D1" s="46"/>
      <c r="E1" s="46"/>
    </row>
    <row r="2" spans="1:5" x14ac:dyDescent="0.25">
      <c r="A2" s="5" t="s">
        <v>11</v>
      </c>
      <c r="B2" s="6" t="s">
        <v>65</v>
      </c>
      <c r="C2" s="6" t="s">
        <v>66</v>
      </c>
      <c r="D2" s="6" t="s">
        <v>67</v>
      </c>
      <c r="E2" s="8" t="s">
        <v>68</v>
      </c>
    </row>
    <row r="3" spans="1:5" x14ac:dyDescent="0.25">
      <c r="A3" s="23">
        <v>44842</v>
      </c>
      <c r="B3" s="16">
        <v>1515</v>
      </c>
      <c r="C3" s="16" t="s">
        <v>72</v>
      </c>
      <c r="D3" s="16" t="s">
        <v>73</v>
      </c>
      <c r="E3" s="48">
        <v>200</v>
      </c>
    </row>
    <row r="4" spans="1:5" x14ac:dyDescent="0.25">
      <c r="A4" s="15" t="s">
        <v>61</v>
      </c>
      <c r="B4" s="16"/>
      <c r="C4" s="16"/>
      <c r="D4" s="16"/>
      <c r="E4" s="24">
        <f>SUBTOTAL(109,CAJAM.T[VALOR])</f>
        <v>200</v>
      </c>
    </row>
  </sheetData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44901-9633-434B-BFE8-E0D040D4A674}">
  <dimension ref="A1:D12"/>
  <sheetViews>
    <sheetView workbookViewId="0">
      <selection sqref="A1:D1"/>
    </sheetView>
  </sheetViews>
  <sheetFormatPr baseColWidth="10" defaultRowHeight="15" x14ac:dyDescent="0.25"/>
  <cols>
    <col min="1" max="1" width="22.85546875" style="41" customWidth="1"/>
    <col min="2" max="16384" width="11.42578125" style="41"/>
  </cols>
  <sheetData>
    <row r="1" spans="1:4" x14ac:dyDescent="0.25">
      <c r="A1" s="26" t="s">
        <v>49</v>
      </c>
      <c r="B1" s="26"/>
      <c r="C1" s="26"/>
      <c r="D1" s="26"/>
    </row>
    <row r="2" spans="1:4" x14ac:dyDescent="0.25">
      <c r="A2" s="1" t="s">
        <v>52</v>
      </c>
      <c r="B2" s="43" cm="1">
        <f t="array" ref="B2">TOTALVENTA</f>
        <v>790.8</v>
      </c>
      <c r="C2" s="44"/>
      <c r="D2" s="45"/>
    </row>
    <row r="3" spans="1:4" x14ac:dyDescent="0.25">
      <c r="A3" s="1" t="s">
        <v>53</v>
      </c>
      <c r="B3" s="43" cm="1">
        <f t="array" ref="B3">TOTALCOSTO</f>
        <v>93</v>
      </c>
      <c r="C3" s="44"/>
      <c r="D3" s="45"/>
    </row>
    <row r="4" spans="1:4" x14ac:dyDescent="0.25">
      <c r="A4" s="1" t="s">
        <v>54</v>
      </c>
      <c r="B4" s="43" cm="1">
        <f t="array" ref="B4">TOTALGANANCIA</f>
        <v>256.8</v>
      </c>
      <c r="C4" s="44"/>
      <c r="D4" s="45"/>
    </row>
    <row r="5" spans="1:4" x14ac:dyDescent="0.25">
      <c r="A5" s="1" t="s">
        <v>55</v>
      </c>
      <c r="B5" s="43">
        <f>SUMIF(SALIDAS!I2:I10,"EFECTIVO",SALIDAS!G2:G10)</f>
        <v>727.8</v>
      </c>
      <c r="C5" s="44"/>
      <c r="D5" s="45"/>
    </row>
    <row r="6" spans="1:4" x14ac:dyDescent="0.25">
      <c r="A6" s="1" t="s">
        <v>56</v>
      </c>
      <c r="B6" s="43">
        <f>SUMIF(SALIDAS!I2:I10,"CREDITO",SALIDAS!G2:G10)</f>
        <v>0</v>
      </c>
      <c r="C6" s="44"/>
      <c r="D6" s="45"/>
    </row>
    <row r="7" spans="1:4" x14ac:dyDescent="0.25">
      <c r="A7" s="1" t="s">
        <v>63</v>
      </c>
      <c r="B7" s="43">
        <f>SUMIF(SALIDAS!I2:I10,"TARJETA",SALIDAS!G2:G10)</f>
        <v>63</v>
      </c>
      <c r="C7" s="44"/>
      <c r="D7" s="45"/>
    </row>
    <row r="8" spans="1:4" x14ac:dyDescent="0.25">
      <c r="A8" s="1" t="s">
        <v>57</v>
      </c>
      <c r="B8" s="43" cm="1">
        <f t="array" ref="B8">TOTALCAJAGASTOSCAJAPRINCIPAL</f>
        <v>110</v>
      </c>
      <c r="C8" s="44"/>
      <c r="D8" s="45"/>
    </row>
    <row r="9" spans="1:4" x14ac:dyDescent="0.25">
      <c r="A9" s="1" t="s">
        <v>58</v>
      </c>
      <c r="B9" s="43">
        <f>B2-B8</f>
        <v>680.8</v>
      </c>
      <c r="C9" s="44"/>
      <c r="D9" s="45"/>
    </row>
    <row r="10" spans="1:4" x14ac:dyDescent="0.25">
      <c r="A10" s="2" t="s">
        <v>50</v>
      </c>
      <c r="B10" s="49" t="s">
        <v>51</v>
      </c>
      <c r="C10" s="50"/>
      <c r="D10" s="51">
        <v>1000</v>
      </c>
    </row>
    <row r="11" spans="1:4" x14ac:dyDescent="0.25">
      <c r="A11" s="1" t="s">
        <v>59</v>
      </c>
      <c r="B11" s="43" cm="1">
        <f t="array" ref="B11">TOTALCOMPRASCAJAMENOR</f>
        <v>200</v>
      </c>
      <c r="C11" s="44"/>
      <c r="D11" s="45"/>
    </row>
    <row r="12" spans="1:4" x14ac:dyDescent="0.25">
      <c r="A12" s="1" t="s">
        <v>60</v>
      </c>
      <c r="B12" s="52">
        <f>D10-B11</f>
        <v>800</v>
      </c>
      <c r="C12" s="53"/>
      <c r="D12" s="54"/>
    </row>
  </sheetData>
  <mergeCells count="12">
    <mergeCell ref="B11:D11"/>
    <mergeCell ref="B12:D12"/>
    <mergeCell ref="B10:C10"/>
    <mergeCell ref="A1:D1"/>
    <mergeCell ref="B2:D2"/>
    <mergeCell ref="B3:D3"/>
    <mergeCell ref="B4:D4"/>
    <mergeCell ref="B5:D5"/>
    <mergeCell ref="B6:D6"/>
    <mergeCell ref="B7:D7"/>
    <mergeCell ref="B8:D8"/>
    <mergeCell ref="B9:D9"/>
  </mergeCell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7</vt:i4>
      </vt:variant>
    </vt:vector>
  </HeadingPairs>
  <TitlesOfParts>
    <vt:vector size="17" baseType="lpstr">
      <vt:lpstr>MENU PRINCIPAL</vt:lpstr>
      <vt:lpstr>PRODUCTOS</vt:lpstr>
      <vt:lpstr>ENTRADAS</vt:lpstr>
      <vt:lpstr>SALIDAS</vt:lpstr>
      <vt:lpstr>DATOS DEL CLIENTE</vt:lpstr>
      <vt:lpstr>FACTURA</vt:lpstr>
      <vt:lpstr>HISTORIAL DE FACTURACION</vt:lpstr>
      <vt:lpstr>GASTOS CAJA PRINCIPAL</vt:lpstr>
      <vt:lpstr>GASTOS CAJA MENOR</vt:lpstr>
      <vt:lpstr>RESUMEN DE CAJAS</vt:lpstr>
      <vt:lpstr>TOTALCAJAGASTOSCAJAPRINCIPAL</vt:lpstr>
      <vt:lpstr>TOTALCM</vt:lpstr>
      <vt:lpstr>TOTALCOMPRASCAJAMENOR</vt:lpstr>
      <vt:lpstr>TOTALCOMPRASCM</vt:lpstr>
      <vt:lpstr>TOTALCOSTO</vt:lpstr>
      <vt:lpstr>TOTALGANANCIA</vt:lpstr>
      <vt:lpstr>TOTALVENTA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ATL</dc:creator>
  <cp:lastModifiedBy>ATL</cp:lastModifiedBy>
  <cp:lastPrinted>2022-10-06T23:13:41Z</cp:lastPrinted>
  <dcterms:created xsi:type="dcterms:W3CDTF">2022-10-06T23:05:13Z</dcterms:created>
  <dcterms:modified xsi:type="dcterms:W3CDTF">2022-10-08T23:44:49Z</dcterms:modified>
</cp:coreProperties>
</file>